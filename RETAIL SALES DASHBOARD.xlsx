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9.xml" ContentType="application/vnd.openxmlformats-officedocument.spreadsheetml.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0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xr:revisionPtr revIDLastSave="0" documentId="8_{BBB08708-9CB7-41FF-BD07-5714D70D4D75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ategory_sale" sheetId="8" r:id="rId1"/>
    <sheet name="Sheet6" sheetId="16" r:id="rId2"/>
    <sheet name="dashboard" sheetId="15" r:id="rId3"/>
    <sheet name="Sheet1" sheetId="1" r:id="rId4"/>
    <sheet name="Sheet2" sheetId="2" r:id="rId5"/>
    <sheet name="monthly_sales" sheetId="10" r:id="rId6"/>
    <sheet name="Sheet3" sheetId="3" r:id="rId7"/>
    <sheet name="payment_analysis" sheetId="11" r:id="rId8"/>
    <sheet name="Sheet4" sheetId="4" r:id="rId9"/>
    <sheet name="region_Sales" sheetId="12" r:id="rId10"/>
    <sheet name="Sheet5" sheetId="5" r:id="rId11"/>
    <sheet name="top 10 customers" sheetId="13" r:id="rId12"/>
    <sheet name="top 10 products" sheetId="14" r:id="rId13"/>
    <sheet name="Sheet7" sheetId="7" r:id="rId14"/>
  </sheets>
  <definedNames>
    <definedName name="Slicer_Category1">#N/A</definedName>
    <definedName name="Slicer_PaymentMethod">#N/A</definedName>
    <definedName name="Slicer_Region">#N/A</definedName>
  </definedNames>
  <calcPr calcId="191028"/>
  <pivotCaches>
    <pivotCache cacheId="186" r:id="rId15"/>
    <pivotCache cacheId="187" r:id="rId16"/>
    <pivotCache cacheId="188" r:id="rId17"/>
    <pivotCache cacheId="189" r:id="rId18"/>
    <pivotCache cacheId="190" r:id="rId19"/>
    <pivotCache cacheId="191" r:id="rId20"/>
    <pivotCache cacheId="231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<sst xmlns="http://schemas.openxmlformats.org/spreadsheetml/2006/main" count="283" uniqueCount="74">
  <si>
    <t>Category</t>
  </si>
  <si>
    <t>Sum of Revenue</t>
  </si>
  <si>
    <t>Electronics</t>
  </si>
  <si>
    <t>Fashion</t>
  </si>
  <si>
    <t>Furniture</t>
  </si>
  <si>
    <t>Sum of Total_Products</t>
  </si>
  <si>
    <t>Sum of Total_Revenue</t>
  </si>
  <si>
    <t>Sum of Total_Profit</t>
  </si>
  <si>
    <t>Sum of Total_Quantity</t>
  </si>
  <si>
    <t>Sum of Average_Order_Value</t>
  </si>
  <si>
    <t>Grand Total</t>
  </si>
  <si>
    <t>MonthName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</si>
  <si>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</si>
  <si>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</si>
  <si>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</si>
  <si>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</si>
  <si>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</si>
  <si>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</si>
  <si>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</si>
  <si>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</si>
  <si>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</si>
  <si>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</si>
  <si>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</si>
  <si>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ProductName</t>
  </si>
  <si>
    <t>Sum of Profit</t>
  </si>
  <si>
    <t>Sum of Quantity_Sold</t>
  </si>
  <si>
    <t>Chair</t>
  </si>
  <si>
    <t>Desk</t>
  </si>
  <si>
    <t>Jeans</t>
  </si>
  <si>
    <t>Laptop</t>
  </si>
  <si>
    <t>Revenue</t>
  </si>
  <si>
    <t>Profit</t>
  </si>
  <si>
    <t>Quantity_Sold</t>
  </si>
  <si>
    <t>Region</t>
  </si>
  <si>
    <t>Sum of Orders</t>
  </si>
  <si>
    <t>East</t>
  </si>
  <si>
    <t>North</t>
  </si>
  <si>
    <t>South</t>
  </si>
  <si>
    <t>Total_Orders</t>
  </si>
  <si>
    <t>Total_Customers</t>
  </si>
  <si>
    <t>Total_Products</t>
  </si>
  <si>
    <t>Total_Revenue</t>
  </si>
  <si>
    <t>Total_Profit</t>
  </si>
  <si>
    <t>Total_Quantity</t>
  </si>
  <si>
    <t>Average_Order_Value</t>
  </si>
  <si>
    <t>West</t>
  </si>
  <si>
    <t>CustomerName</t>
  </si>
  <si>
    <t>Customer 10</t>
  </si>
  <si>
    <t>Customer 10 Total</t>
  </si>
  <si>
    <t>Customer 14</t>
  </si>
  <si>
    <t>Customer 14 Total</t>
  </si>
  <si>
    <t>Customer 16</t>
  </si>
  <si>
    <t>Customer 16 Total</t>
  </si>
  <si>
    <t>Customer 17</t>
  </si>
  <si>
    <t>Customer 17 Total</t>
  </si>
  <si>
    <t>Customer 19</t>
  </si>
  <si>
    <t>Customer 19 Total</t>
  </si>
  <si>
    <t>Customer 21</t>
  </si>
  <si>
    <t>Customer 21 Total</t>
  </si>
  <si>
    <t>Customer 23</t>
  </si>
  <si>
    <t>Customer 23 Total</t>
  </si>
  <si>
    <t>Customer 33</t>
  </si>
  <si>
    <t>Customer 33 Total</t>
  </si>
  <si>
    <t>Customer 5</t>
  </si>
  <si>
    <t>Customer 5 Total</t>
  </si>
  <si>
    <t>Year</t>
  </si>
  <si>
    <t>February</t>
  </si>
  <si>
    <t>PaymentMethod</t>
  </si>
  <si>
    <t>Sum of Total_Orders</t>
  </si>
  <si>
    <t>Card</t>
  </si>
  <si>
    <t>Cash</t>
  </si>
  <si>
    <t>Net Banking</t>
  </si>
  <si>
    <t>UPI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</si>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</sst>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INR]\ * #,##0.00_);_([$INR]\ * \(#,##0.00\);_([$INR]\ * &quot;-&quot;??_);_(@_)"/>
    <numFmt numFmtId="165" formatCode="[$INR]\ #,##0.0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" fontId="1" fillId="2" borderId="1" xfId="0" applyNumberFormat="1" applyFont="1" applyFill="1" applyBorder="1"/>
    <xf numFmtId="165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1" fontId="0" fillId="0" borderId="0" xfId="0" applyNumberFormat="1" applyFont="1"/>
    <xf numFmtId="165" fontId="0" fillId="0" borderId="0" xfId="0" applyNumberFormat="1" applyFont="1"/>
    <xf numFmtId="164" fontId="0" fillId="0" borderId="0" xfId="0" applyNumberFormat="1" applyFont="1"/>
    <xf numFmtId="0" fontId="0" fillId="0" borderId="0" xfId="0" applyNumberFormat="1" applyFont="1"/>
    <xf numFmtId="0" fontId="0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</cellXfs>
  <cellStyles count="1">
    <cellStyle name="Normal" xfId="0" builtinId="0"/>
  </cellStyles>
  <dxfs count="17"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  <dxf>
      <numFmt numFmtId="164" formatCode="_([$INR]\ * #,##0.00_);_([$INR]\ * \(#,##0.00\);_([$INR]\ 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DASHBOARD.xlsx]monthly_sales!PivotTable3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monthly_sales!$A$4:$A$15</c:f>
              <c:strCache>
                <c:ptCount val="11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monthly_sales!$B$4:$B$15</c:f>
              <c:numCache>
                <c:formatCode>_([$INR]\ * #,##0.00_);_([$INR]\ * \(#,##0.00\);_([$INR]\ * "-"??_);_(@_)</c:formatCode>
                <c:ptCount val="11"/>
                <c:pt idx="0">
                  <c:v>51364</c:v>
                </c:pt>
                <c:pt idx="1">
                  <c:v>41118</c:v>
                </c:pt>
                <c:pt idx="2">
                  <c:v>51873.5</c:v>
                </c:pt>
                <c:pt idx="3">
                  <c:v>25952</c:v>
                </c:pt>
                <c:pt idx="4">
                  <c:v>59619.5</c:v>
                </c:pt>
                <c:pt idx="5">
                  <c:v>12360.5</c:v>
                </c:pt>
                <c:pt idx="6">
                  <c:v>13570.5</c:v>
                </c:pt>
                <c:pt idx="7">
                  <c:v>13134</c:v>
                </c:pt>
                <c:pt idx="8">
                  <c:v>9120</c:v>
                </c:pt>
                <c:pt idx="9">
                  <c:v>36571.5</c:v>
                </c:pt>
                <c:pt idx="10">
                  <c:v>25629.5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8-464F-BD93-A586E126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35272"/>
        <c:axId val="50630664"/>
      </c:lineChart>
      <c:catAx>
        <c:axId val="5063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0664"/>
        <c:crosses val="autoZero"/>
        <c:auto val="1"/>
        <c:lblAlgn val="ctr"/>
        <c:lblOffset val="100"/>
        <c:noMultiLvlLbl val="0"/>
      </c:catAx>
      <c:valAx>
        <c:axId val="50630664"/>
        <c:scaling>
          <c:orientation val="minMax"/>
        </c:scaling>
        <c:delete val="0"/>
        <c:axPos val="l"/>
        <c:numFmt formatCode="0.00" sourceLinked="0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5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CEE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DASHBOARD.xlsx]payment_analysis!PivotTable4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3-426A-BE60-7FCCCBC6C7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3-426A-BE60-7FCCCBC6C72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3-426A-BE60-7FCCCBC6C7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3-426A-BE60-7FCCCBC6C7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payment_analysis!$A$4:$A$8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payment_analysis!$B$4:$B$8</c:f>
              <c:numCache>
                <c:formatCode>General</c:formatCode>
                <c:ptCount val="4"/>
                <c:pt idx="0">
                  <c:v>58</c:v>
                </c:pt>
                <c:pt idx="1">
                  <c:v>72</c:v>
                </c:pt>
                <c:pt idx="2">
                  <c:v>61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B3-426A-BE60-7FCCCBC6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4DC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DASHBOARD.xlsx]region_Sales!PivotTable5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region_Sales!$A$4:$A$8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_([$INR]\ * #,##0.00_);_([$INR]\ * \(#,##0.00\);_([$INR]\ * "-"??_);_(@_)</c:formatCode>
                <c:ptCount val="4"/>
                <c:pt idx="0">
                  <c:v>234995</c:v>
                </c:pt>
                <c:pt idx="1">
                  <c:v>102756</c:v>
                </c:pt>
                <c:pt idx="2">
                  <c:v>39284.5</c:v>
                </c:pt>
                <c:pt idx="3">
                  <c:v>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B-461F-A2B8-55CA46DEB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axId val="1287089671"/>
        <c:axId val="1469519367"/>
      </c:barChart>
      <c:catAx>
        <c:axId val="128708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19367"/>
        <c:crosses val="autoZero"/>
        <c:auto val="1"/>
        <c:lblAlgn val="ctr"/>
        <c:lblOffset val="100"/>
        <c:noMultiLvlLbl val="0"/>
      </c:catAx>
      <c:valAx>
        <c:axId val="1469519367"/>
        <c:scaling>
          <c:orientation val="minMax"/>
          <c:max val="2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DASHBOARD.xlsx]top 10 customers!PivotTable6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customers'!$A$4:$A$13</c:f>
              <c:strCache>
                <c:ptCount val="9"/>
                <c:pt idx="0">
                  <c:v>Customer 10</c:v>
                </c:pt>
                <c:pt idx="1">
                  <c:v>Customer 14</c:v>
                </c:pt>
                <c:pt idx="2">
                  <c:v>Customer 16</c:v>
                </c:pt>
                <c:pt idx="3">
                  <c:v>Customer 17</c:v>
                </c:pt>
                <c:pt idx="4">
                  <c:v>Customer 19</c:v>
                </c:pt>
                <c:pt idx="5">
                  <c:v>Customer 21</c:v>
                </c:pt>
                <c:pt idx="6">
                  <c:v>Customer 23</c:v>
                </c:pt>
                <c:pt idx="7">
                  <c:v>Customer 33</c:v>
                </c:pt>
                <c:pt idx="8">
                  <c:v>Customer 5</c:v>
                </c:pt>
              </c:strCache>
            </c:strRef>
          </c:cat>
          <c:val>
            <c:numRef>
              <c:f>'top 10 customers'!$B$4:$B$13</c:f>
              <c:numCache>
                <c:formatCode>_([$INR]\ * #,##0.00_);_([$INR]\ * \(#,##0.00\);_([$INR]\ * "-"??_);_(@_)</c:formatCode>
                <c:ptCount val="9"/>
                <c:pt idx="0">
                  <c:v>21467.5</c:v>
                </c:pt>
                <c:pt idx="1">
                  <c:v>8979.5</c:v>
                </c:pt>
                <c:pt idx="2">
                  <c:v>12137</c:v>
                </c:pt>
                <c:pt idx="3">
                  <c:v>9354.5</c:v>
                </c:pt>
                <c:pt idx="4">
                  <c:v>9803.5</c:v>
                </c:pt>
                <c:pt idx="5">
                  <c:v>17274</c:v>
                </c:pt>
                <c:pt idx="6">
                  <c:v>8655</c:v>
                </c:pt>
                <c:pt idx="7">
                  <c:v>11647</c:v>
                </c:pt>
                <c:pt idx="8">
                  <c:v>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B-4288-8B9B-86CCE888F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092167"/>
        <c:axId val="1000094215"/>
      </c:barChart>
      <c:catAx>
        <c:axId val="1000092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4215"/>
        <c:crosses val="autoZero"/>
        <c:auto val="1"/>
        <c:lblAlgn val="ctr"/>
        <c:lblOffset val="100"/>
        <c:noMultiLvlLbl val="0"/>
      </c:catAx>
      <c:valAx>
        <c:axId val="100009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DASHBOARD.xlsx]top 10 products!PivotTable7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x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'top 10 products'!$A$4:$A$8</c:f>
              <c:strCache>
                <c:ptCount val="4"/>
                <c:pt idx="0">
                  <c:v>Chair</c:v>
                </c:pt>
                <c:pt idx="1">
                  <c:v>Desk</c:v>
                </c:pt>
                <c:pt idx="2">
                  <c:v>Jeans</c:v>
                </c:pt>
                <c:pt idx="3">
                  <c:v>Laptop</c:v>
                </c:pt>
              </c:strCache>
            </c:strRef>
          </c:cat>
          <c:val>
            <c:numRef>
              <c:f>'top 10 products'!$B$4:$B$8</c:f>
              <c:numCache>
                <c:formatCode>_([$INR]\ * #,##0.00_);_([$INR]\ * \(#,##0.00\);_([$INR]\ * "-"??_);_(@_)</c:formatCode>
                <c:ptCount val="4"/>
                <c:pt idx="0">
                  <c:v>87958.5</c:v>
                </c:pt>
                <c:pt idx="1">
                  <c:v>23391.5</c:v>
                </c:pt>
                <c:pt idx="2">
                  <c:v>35534.5</c:v>
                </c:pt>
                <c:pt idx="3">
                  <c:v>13365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3-4D8C-8950-D0AAFC67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32999"/>
        <c:axId val="794135047"/>
      </c:lineChart>
      <c:catAx>
        <c:axId val="79413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5047"/>
        <c:crosses val="autoZero"/>
        <c:auto val="1"/>
        <c:lblAlgn val="ctr"/>
        <c:lblOffset val="100"/>
        <c:noMultiLvlLbl val="0"/>
      </c:catAx>
      <c:valAx>
        <c:axId val="79413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2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82E39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DASHBOARD.xlsx]category_sale!PivotTable1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87331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81-4A10-8737-43C91E81256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81-4A10-8737-43C91E812569}"/>
              </c:ext>
            </c:extLst>
          </c:dPt>
          <c:cat>
            <c:strRef>
              <c:f>category_sale!$A$4:$A$7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</c:strCache>
            </c:strRef>
          </c:cat>
          <c:val>
            <c:numRef>
              <c:f>category_sale!$B$4:$B$7</c:f>
              <c:numCache>
                <c:formatCode>_([$INR]\ * #,##0.00_);_([$INR]\ * \(#,##0.00\);_([$INR]\ * "-"??_);_(@_)</c:formatCode>
                <c:ptCount val="3"/>
                <c:pt idx="0">
                  <c:v>312514.5</c:v>
                </c:pt>
                <c:pt idx="1">
                  <c:v>62070</c:v>
                </c:pt>
                <c:pt idx="2">
                  <c:v>10134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945-A366-80123CC5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069384"/>
        <c:axId val="2046366727"/>
      </c:barChart>
      <c:catAx>
        <c:axId val="111606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366727"/>
        <c:crosses val="autoZero"/>
        <c:auto val="1"/>
        <c:lblAlgn val="ctr"/>
        <c:lblOffset val="100"/>
        <c:noMultiLvlLbl val="0"/>
      </c:catAx>
      <c:valAx>
        <c:axId val="204636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6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0F1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DASHBOARD.xlsx]monthly_sales!PivotTable3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monthly_sales!$A$4:$A$15</c:f>
              <c:strCache>
                <c:ptCount val="11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monthly_sales!$B$4:$B$15</c:f>
              <c:numCache>
                <c:formatCode>_([$INR]\ * #,##0.00_);_([$INR]\ * \(#,##0.00\);_([$INR]\ * "-"??_);_(@_)</c:formatCode>
                <c:ptCount val="11"/>
                <c:pt idx="0">
                  <c:v>51364</c:v>
                </c:pt>
                <c:pt idx="1">
                  <c:v>41118</c:v>
                </c:pt>
                <c:pt idx="2">
                  <c:v>51873.5</c:v>
                </c:pt>
                <c:pt idx="3">
                  <c:v>25952</c:v>
                </c:pt>
                <c:pt idx="4">
                  <c:v>59619.5</c:v>
                </c:pt>
                <c:pt idx="5">
                  <c:v>12360.5</c:v>
                </c:pt>
                <c:pt idx="6">
                  <c:v>13570.5</c:v>
                </c:pt>
                <c:pt idx="7">
                  <c:v>13134</c:v>
                </c:pt>
                <c:pt idx="8">
                  <c:v>9120</c:v>
                </c:pt>
                <c:pt idx="9">
                  <c:v>36571.5</c:v>
                </c:pt>
                <c:pt idx="10">
                  <c:v>25629.5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0-4F8D-AD4A-8AE6BBCE5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35272"/>
        <c:axId val="50630664"/>
      </c:lineChart>
      <c:catAx>
        <c:axId val="5063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0664"/>
        <c:crosses val="autoZero"/>
        <c:auto val="1"/>
        <c:lblAlgn val="ctr"/>
        <c:lblOffset val="100"/>
        <c:noMultiLvlLbl val="0"/>
      </c:catAx>
      <c:valAx>
        <c:axId val="5063066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5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DASHBOARD.xlsx]payment_analysis!PivotTable4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6A-4C3D-A65A-D404D540B4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6A-4C3D-A65A-D404D540B4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6A-4C3D-A65A-D404D540B4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6A-4C3D-A65A-D404D540B417}"/>
              </c:ext>
            </c:extLst>
          </c:dPt>
          <c:cat>
            <c:strRef>
              <c:f>payment_analysis!$A$4:$A$8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payment_analysis!$B$4:$B$8</c:f>
              <c:numCache>
                <c:formatCode>General</c:formatCode>
                <c:ptCount val="4"/>
                <c:pt idx="0">
                  <c:v>58</c:v>
                </c:pt>
                <c:pt idx="1">
                  <c:v>72</c:v>
                </c:pt>
                <c:pt idx="2">
                  <c:v>61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7-41A5-AB8F-A9B53125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DASHBOARD.xlsx]region_Sales!PivotTable5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_([$INR]\ * #,##0.00_);_([$INR]\ * \(#,##0.00\);_([$INR]\ * "-"??_);_(@_)</c:formatCode>
                <c:ptCount val="4"/>
                <c:pt idx="0">
                  <c:v>234995</c:v>
                </c:pt>
                <c:pt idx="1">
                  <c:v>102756</c:v>
                </c:pt>
                <c:pt idx="2">
                  <c:v>39284.5</c:v>
                </c:pt>
                <c:pt idx="3">
                  <c:v>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7-4627-8CA5-68E94D91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axId val="1287089671"/>
        <c:axId val="1469519367"/>
      </c:barChart>
      <c:catAx>
        <c:axId val="128708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19367"/>
        <c:crosses val="autoZero"/>
        <c:auto val="1"/>
        <c:lblAlgn val="ctr"/>
        <c:lblOffset val="100"/>
        <c:noMultiLvlLbl val="0"/>
      </c:catAx>
      <c:valAx>
        <c:axId val="1469519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DASHBOARD.xlsx]top 10 customers!PivotTable6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customers'!$A$4:$A$13</c:f>
              <c:strCache>
                <c:ptCount val="9"/>
                <c:pt idx="0">
                  <c:v>Customer 10</c:v>
                </c:pt>
                <c:pt idx="1">
                  <c:v>Customer 14</c:v>
                </c:pt>
                <c:pt idx="2">
                  <c:v>Customer 16</c:v>
                </c:pt>
                <c:pt idx="3">
                  <c:v>Customer 17</c:v>
                </c:pt>
                <c:pt idx="4">
                  <c:v>Customer 19</c:v>
                </c:pt>
                <c:pt idx="5">
                  <c:v>Customer 21</c:v>
                </c:pt>
                <c:pt idx="6">
                  <c:v>Customer 23</c:v>
                </c:pt>
                <c:pt idx="7">
                  <c:v>Customer 33</c:v>
                </c:pt>
                <c:pt idx="8">
                  <c:v>Customer 5</c:v>
                </c:pt>
              </c:strCache>
            </c:strRef>
          </c:cat>
          <c:val>
            <c:numRef>
              <c:f>'top 10 customers'!$B$4:$B$13</c:f>
              <c:numCache>
                <c:formatCode>_([$INR]\ * #,##0.00_);_([$INR]\ * \(#,##0.00\);_([$INR]\ * "-"??_);_(@_)</c:formatCode>
                <c:ptCount val="9"/>
                <c:pt idx="0">
                  <c:v>21467.5</c:v>
                </c:pt>
                <c:pt idx="1">
                  <c:v>8979.5</c:v>
                </c:pt>
                <c:pt idx="2">
                  <c:v>12137</c:v>
                </c:pt>
                <c:pt idx="3">
                  <c:v>9354.5</c:v>
                </c:pt>
                <c:pt idx="4">
                  <c:v>9803.5</c:v>
                </c:pt>
                <c:pt idx="5">
                  <c:v>17274</c:v>
                </c:pt>
                <c:pt idx="6">
                  <c:v>8655</c:v>
                </c:pt>
                <c:pt idx="7">
                  <c:v>11647</c:v>
                </c:pt>
                <c:pt idx="8">
                  <c:v>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A-48C0-B9CB-DDB9922D1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092167"/>
        <c:axId val="1000094215"/>
      </c:barChart>
      <c:catAx>
        <c:axId val="1000092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4215"/>
        <c:crosses val="autoZero"/>
        <c:auto val="1"/>
        <c:lblAlgn val="ctr"/>
        <c:lblOffset val="100"/>
        <c:noMultiLvlLbl val="0"/>
      </c:catAx>
      <c:valAx>
        <c:axId val="100009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DASHBOARD.xlsx]top 10 customers!PivotTable6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customers'!$A$4:$A$13</c:f>
              <c:strCache>
                <c:ptCount val="9"/>
                <c:pt idx="0">
                  <c:v>Customer 10</c:v>
                </c:pt>
                <c:pt idx="1">
                  <c:v>Customer 14</c:v>
                </c:pt>
                <c:pt idx="2">
                  <c:v>Customer 16</c:v>
                </c:pt>
                <c:pt idx="3">
                  <c:v>Customer 17</c:v>
                </c:pt>
                <c:pt idx="4">
                  <c:v>Customer 19</c:v>
                </c:pt>
                <c:pt idx="5">
                  <c:v>Customer 21</c:v>
                </c:pt>
                <c:pt idx="6">
                  <c:v>Customer 23</c:v>
                </c:pt>
                <c:pt idx="7">
                  <c:v>Customer 33</c:v>
                </c:pt>
                <c:pt idx="8">
                  <c:v>Customer 5</c:v>
                </c:pt>
              </c:strCache>
            </c:strRef>
          </c:cat>
          <c:val>
            <c:numRef>
              <c:f>'top 10 customers'!$B$4:$B$13</c:f>
              <c:numCache>
                <c:formatCode>_([$INR]\ * #,##0.00_);_([$INR]\ * \(#,##0.00\);_([$INR]\ * "-"??_);_(@_)</c:formatCode>
                <c:ptCount val="9"/>
                <c:pt idx="0">
                  <c:v>21467.5</c:v>
                </c:pt>
                <c:pt idx="1">
                  <c:v>8979.5</c:v>
                </c:pt>
                <c:pt idx="2">
                  <c:v>12137</c:v>
                </c:pt>
                <c:pt idx="3">
                  <c:v>9354.5</c:v>
                </c:pt>
                <c:pt idx="4">
                  <c:v>9803.5</c:v>
                </c:pt>
                <c:pt idx="5">
                  <c:v>17274</c:v>
                </c:pt>
                <c:pt idx="6">
                  <c:v>8655</c:v>
                </c:pt>
                <c:pt idx="7">
                  <c:v>11647</c:v>
                </c:pt>
                <c:pt idx="8">
                  <c:v>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7-4CB2-ADEE-1F576DC5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092167"/>
        <c:axId val="1000094215"/>
      </c:barChart>
      <c:catAx>
        <c:axId val="1000092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4215"/>
        <c:crosses val="autoZero"/>
        <c:auto val="1"/>
        <c:lblAlgn val="ctr"/>
        <c:lblOffset val="100"/>
        <c:noMultiLvlLbl val="0"/>
      </c:catAx>
      <c:valAx>
        <c:axId val="100009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9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DASHBOARD.xlsx]top 10 products!PivotTable7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'top 10 products'!$A$4:$A$8</c:f>
              <c:strCache>
                <c:ptCount val="4"/>
                <c:pt idx="0">
                  <c:v>Chair</c:v>
                </c:pt>
                <c:pt idx="1">
                  <c:v>Desk</c:v>
                </c:pt>
                <c:pt idx="2">
                  <c:v>Jeans</c:v>
                </c:pt>
                <c:pt idx="3">
                  <c:v>Laptop</c:v>
                </c:pt>
              </c:strCache>
            </c:strRef>
          </c:cat>
          <c:val>
            <c:numRef>
              <c:f>'top 10 products'!$B$4:$B$8</c:f>
              <c:numCache>
                <c:formatCode>_([$INR]\ * #,##0.00_);_([$INR]\ * \(#,##0.00\);_([$INR]\ * "-"??_);_(@_)</c:formatCode>
                <c:ptCount val="4"/>
                <c:pt idx="0">
                  <c:v>87958.5</c:v>
                </c:pt>
                <c:pt idx="1">
                  <c:v>23391.5</c:v>
                </c:pt>
                <c:pt idx="2">
                  <c:v>35534.5</c:v>
                </c:pt>
                <c:pt idx="3">
                  <c:v>13365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3-448C-B8AC-CAC57C11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32999"/>
        <c:axId val="794135047"/>
      </c:lineChart>
      <c:catAx>
        <c:axId val="79413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5047"/>
        <c:crosses val="autoZero"/>
        <c:auto val="1"/>
        <c:lblAlgn val="ctr"/>
        <c:lblOffset val="100"/>
        <c:noMultiLvlLbl val="0"/>
      </c:catAx>
      <c:valAx>
        <c:axId val="79413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2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76200</xdr:rowOff>
    </xdr:from>
    <xdr:to>
      <xdr:col>29</xdr:col>
      <xdr:colOff>76200</xdr:colOff>
      <xdr:row>3</xdr:row>
      <xdr:rowOff>180975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85C1755-5C79-CC26-462C-FE1B4504CB87}"/>
            </a:ext>
          </a:extLst>
        </xdr:cNvPr>
        <xdr:cNvSpPr/>
      </xdr:nvSpPr>
      <xdr:spPr>
        <a:xfrm>
          <a:off x="228600" y="76200"/>
          <a:ext cx="23698200" cy="6762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1162050</xdr:colOff>
      <xdr:row>0</xdr:row>
      <xdr:rowOff>104775</xdr:rowOff>
    </xdr:from>
    <xdr:to>
      <xdr:col>23</xdr:col>
      <xdr:colOff>238125</xdr:colOff>
      <xdr:row>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5F0251-1A09-D1C3-04C7-130E079834E9}"/>
            </a:ext>
            <a:ext uri="{147F2762-F138-4A5C-976F-8EAC2B608ADB}">
              <a16:predDERef xmlns:a16="http://schemas.microsoft.com/office/drawing/2014/main" pred="{C85C1755-5C79-CC26-462C-FE1B4504CB87}"/>
            </a:ext>
          </a:extLst>
        </xdr:cNvPr>
        <xdr:cNvSpPr txBox="1"/>
      </xdr:nvSpPr>
      <xdr:spPr>
        <a:xfrm>
          <a:off x="8477250" y="104775"/>
          <a:ext cx="9944100" cy="590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>
              <a:latin typeface="Times New Roman" panose="02020603050405020304" pitchFamily="18" charset="0"/>
              <a:cs typeface="Times New Roman" panose="02020603050405020304" pitchFamily="18" charset="0"/>
            </a:rPr>
            <a:t>RETAIL SALES DASHBOARD</a:t>
          </a:r>
        </a:p>
      </xdr:txBody>
    </xdr:sp>
    <xdr:clientData/>
  </xdr:twoCellAnchor>
  <xdr:twoCellAnchor>
    <xdr:from>
      <xdr:col>0</xdr:col>
      <xdr:colOff>333375</xdr:colOff>
      <xdr:row>4</xdr:row>
      <xdr:rowOff>95250</xdr:rowOff>
    </xdr:from>
    <xdr:to>
      <xdr:col>6</xdr:col>
      <xdr:colOff>581025</xdr:colOff>
      <xdr:row>8</xdr:row>
      <xdr:rowOff>9525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46A4D69-ECAA-4F1E-88BE-9753439C9488}"/>
            </a:ext>
            <a:ext uri="{147F2762-F138-4A5C-976F-8EAC2B608ADB}">
              <a16:predDERef xmlns:a16="http://schemas.microsoft.com/office/drawing/2014/main" pred="{535F0251-1A09-D1C3-04C7-130E079834E9}"/>
            </a:ext>
          </a:extLst>
        </xdr:cNvPr>
        <xdr:cNvSpPr/>
      </xdr:nvSpPr>
      <xdr:spPr>
        <a:xfrm>
          <a:off x="333375" y="857250"/>
          <a:ext cx="3905250" cy="676275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133350</xdr:colOff>
      <xdr:row>4</xdr:row>
      <xdr:rowOff>95250</xdr:rowOff>
    </xdr:from>
    <xdr:to>
      <xdr:col>12</xdr:col>
      <xdr:colOff>523875</xdr:colOff>
      <xdr:row>8</xdr:row>
      <xdr:rowOff>9525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AB35D35-58F5-412B-9BB9-E92A406CC30C}"/>
            </a:ext>
            <a:ext uri="{147F2762-F138-4A5C-976F-8EAC2B608ADB}">
              <a16:predDERef xmlns:a16="http://schemas.microsoft.com/office/drawing/2014/main" pred="{B46A4D69-ECAA-4F1E-88BE-9753439C9488}"/>
            </a:ext>
          </a:extLst>
        </xdr:cNvPr>
        <xdr:cNvSpPr/>
      </xdr:nvSpPr>
      <xdr:spPr>
        <a:xfrm>
          <a:off x="4400550" y="857250"/>
          <a:ext cx="3438525" cy="67627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695325</xdr:colOff>
      <xdr:row>4</xdr:row>
      <xdr:rowOff>95250</xdr:rowOff>
    </xdr:from>
    <xdr:to>
      <xdr:col>18</xdr:col>
      <xdr:colOff>419100</xdr:colOff>
      <xdr:row>8</xdr:row>
      <xdr:rowOff>9525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EED548AF-9B07-4400-B3CC-42D957B557EF}"/>
            </a:ext>
            <a:ext uri="{147F2762-F138-4A5C-976F-8EAC2B608ADB}">
              <a16:predDERef xmlns:a16="http://schemas.microsoft.com/office/drawing/2014/main" pred="{4AB35D35-58F5-412B-9BB9-E92A406CC30C}"/>
            </a:ext>
          </a:extLst>
        </xdr:cNvPr>
        <xdr:cNvSpPr/>
      </xdr:nvSpPr>
      <xdr:spPr>
        <a:xfrm>
          <a:off x="8010525" y="857250"/>
          <a:ext cx="5124450" cy="676275"/>
        </a:xfrm>
        <a:prstGeom prst="roundRect">
          <a:avLst/>
        </a:prstGeom>
        <a:solidFill>
          <a:srgbClr val="00B0F0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18</xdr:col>
      <xdr:colOff>571500</xdr:colOff>
      <xdr:row>4</xdr:row>
      <xdr:rowOff>85725</xdr:rowOff>
    </xdr:from>
    <xdr:to>
      <xdr:col>23</xdr:col>
      <xdr:colOff>323850</xdr:colOff>
      <xdr:row>8</xdr:row>
      <xdr:rowOff>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EF10420-3206-4611-A7EE-1290D9CCC375}"/>
            </a:ext>
            <a:ext uri="{147F2762-F138-4A5C-976F-8EAC2B608ADB}">
              <a16:predDERef xmlns:a16="http://schemas.microsoft.com/office/drawing/2014/main" pred="{EED548AF-9B07-4400-B3CC-42D957B557EF}"/>
            </a:ext>
          </a:extLst>
        </xdr:cNvPr>
        <xdr:cNvSpPr/>
      </xdr:nvSpPr>
      <xdr:spPr>
        <a:xfrm>
          <a:off x="13287375" y="847725"/>
          <a:ext cx="5219700" cy="676275"/>
        </a:xfrm>
        <a:prstGeom prst="roundRect">
          <a:avLst/>
        </a:prstGeom>
        <a:solidFill>
          <a:srgbClr val="FFC000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23</xdr:col>
      <xdr:colOff>485775</xdr:colOff>
      <xdr:row>4</xdr:row>
      <xdr:rowOff>76200</xdr:rowOff>
    </xdr:from>
    <xdr:to>
      <xdr:col>29</xdr:col>
      <xdr:colOff>47625</xdr:colOff>
      <xdr:row>7</xdr:row>
      <xdr:rowOff>180975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9D8BBAFD-F3D8-491F-A8CB-303B117AE0E3}"/>
            </a:ext>
            <a:ext uri="{147F2762-F138-4A5C-976F-8EAC2B608ADB}">
              <a16:predDERef xmlns:a16="http://schemas.microsoft.com/office/drawing/2014/main" pred="{0EF10420-3206-4611-A7EE-1290D9CCC375}"/>
            </a:ext>
          </a:extLst>
        </xdr:cNvPr>
        <xdr:cNvSpPr/>
      </xdr:nvSpPr>
      <xdr:spPr>
        <a:xfrm>
          <a:off x="18669000" y="838200"/>
          <a:ext cx="5229225" cy="676275"/>
        </a:xfrm>
        <a:prstGeom prst="roundRect">
          <a:avLst/>
        </a:prstGeom>
        <a:solidFill>
          <a:schemeClr val="bg2">
            <a:lumMod val="7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352425</xdr:colOff>
      <xdr:row>4</xdr:row>
      <xdr:rowOff>142875</xdr:rowOff>
    </xdr:from>
    <xdr:to>
      <xdr:col>4</xdr:col>
      <xdr:colOff>285750</xdr:colOff>
      <xdr:row>7</xdr:row>
      <xdr:rowOff>142875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71B1AA-DEF5-1A35-DAA4-A6481914469B}"/>
            </a:ext>
            <a:ext uri="{147F2762-F138-4A5C-976F-8EAC2B608ADB}">
              <a16:predDERef xmlns:a16="http://schemas.microsoft.com/office/drawing/2014/main" pred="{9D8BBAFD-F3D8-491F-A8CB-303B117AE0E3}"/>
            </a:ext>
          </a:extLst>
        </xdr:cNvPr>
        <xdr:cNvSpPr txBox="1"/>
      </xdr:nvSpPr>
      <xdr:spPr>
        <a:xfrm>
          <a:off x="1571625" y="904875"/>
          <a:ext cx="1152525" cy="571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 Revenue</a:t>
          </a:r>
        </a:p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384,718.50</a:t>
          </a:r>
        </a:p>
      </xdr:txBody>
    </xdr:sp>
    <xdr:clientData/>
  </xdr:twoCellAnchor>
  <xdr:twoCellAnchor>
    <xdr:from>
      <xdr:col>9</xdr:col>
      <xdr:colOff>123825</xdr:colOff>
      <xdr:row>4</xdr:row>
      <xdr:rowOff>123825</xdr:rowOff>
    </xdr:from>
    <xdr:to>
      <xdr:col>11</xdr:col>
      <xdr:colOff>57150</xdr:colOff>
      <xdr:row>7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543E84E-DD56-45F5-A686-826F88AC0312}"/>
            </a:ext>
            <a:ext uri="{147F2762-F138-4A5C-976F-8EAC2B608ADB}">
              <a16:predDERef xmlns:a16="http://schemas.microsoft.com/office/drawing/2014/main" pred="{1A71B1AA-DEF5-1A35-DAA4-A6481914469B}"/>
            </a:ext>
          </a:extLst>
        </xdr:cNvPr>
        <xdr:cNvSpPr txBox="1"/>
      </xdr:nvSpPr>
      <xdr:spPr>
        <a:xfrm>
          <a:off x="5610225" y="885825"/>
          <a:ext cx="1152525" cy="571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accent5">
              <a:lumMod val="40000"/>
              <a:lumOff val="6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  Profit</a:t>
          </a:r>
        </a:p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92839.50</a:t>
          </a:r>
        </a:p>
      </xdr:txBody>
    </xdr:sp>
    <xdr:clientData/>
  </xdr:twoCellAnchor>
  <xdr:twoCellAnchor>
    <xdr:from>
      <xdr:col>14</xdr:col>
      <xdr:colOff>723900</xdr:colOff>
      <xdr:row>4</xdr:row>
      <xdr:rowOff>123825</xdr:rowOff>
    </xdr:from>
    <xdr:to>
      <xdr:col>16</xdr:col>
      <xdr:colOff>561975</xdr:colOff>
      <xdr:row>7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15B4FC6-E193-4677-BD44-79C0DAFF86D7}"/>
            </a:ext>
            <a:ext uri="{147F2762-F138-4A5C-976F-8EAC2B608ADB}">
              <a16:predDERef xmlns:a16="http://schemas.microsoft.com/office/drawing/2014/main" pred="{2543E84E-DD56-45F5-A686-826F88AC0312}"/>
            </a:ext>
          </a:extLst>
        </xdr:cNvPr>
        <xdr:cNvSpPr txBox="1"/>
      </xdr:nvSpPr>
      <xdr:spPr>
        <a:xfrm>
          <a:off x="9953625" y="885825"/>
          <a:ext cx="1533525" cy="57150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Avg Order</a:t>
          </a:r>
        </a:p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 1538.87</a:t>
          </a:r>
        </a:p>
      </xdr:txBody>
    </xdr:sp>
    <xdr:clientData/>
  </xdr:twoCellAnchor>
  <xdr:twoCellAnchor>
    <xdr:from>
      <xdr:col>20</xdr:col>
      <xdr:colOff>342900</xdr:colOff>
      <xdr:row>4</xdr:row>
      <xdr:rowOff>142875</xdr:rowOff>
    </xdr:from>
    <xdr:to>
      <xdr:col>21</xdr:col>
      <xdr:colOff>466725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CA2D8F-48C2-4AE9-9C9F-F73E165328B2}"/>
            </a:ext>
            <a:ext uri="{147F2762-F138-4A5C-976F-8EAC2B608ADB}">
              <a16:predDERef xmlns:a16="http://schemas.microsoft.com/office/drawing/2014/main" pred="{215B4FC6-E193-4677-BD44-79C0DAFF86D7}"/>
            </a:ext>
          </a:extLst>
        </xdr:cNvPr>
        <xdr:cNvSpPr txBox="1"/>
      </xdr:nvSpPr>
      <xdr:spPr>
        <a:xfrm>
          <a:off x="14944725" y="904875"/>
          <a:ext cx="1152525" cy="571500"/>
        </a:xfrm>
        <a:prstGeom prst="rect">
          <a:avLst/>
        </a:prstGeom>
        <a:solidFill>
          <a:srgbClr val="FFC000"/>
        </a:solidFill>
        <a:ln w="9525" cmpd="sng">
          <a:solidFill>
            <a:srgbClr val="FFC000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Customers</a:t>
          </a:r>
        </a:p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      78</a:t>
          </a:r>
        </a:p>
      </xdr:txBody>
    </xdr:sp>
    <xdr:clientData/>
  </xdr:twoCellAnchor>
  <xdr:twoCellAnchor>
    <xdr:from>
      <xdr:col>26</xdr:col>
      <xdr:colOff>133350</xdr:colOff>
      <xdr:row>4</xdr:row>
      <xdr:rowOff>142875</xdr:rowOff>
    </xdr:from>
    <xdr:to>
      <xdr:col>28</xdr:col>
      <xdr:colOff>66675</xdr:colOff>
      <xdr:row>7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D1CB67E-2A21-46AE-83A2-A7A39474B565}"/>
            </a:ext>
            <a:ext uri="{147F2762-F138-4A5C-976F-8EAC2B608ADB}">
              <a16:predDERef xmlns:a16="http://schemas.microsoft.com/office/drawing/2014/main" pred="{31CA2D8F-48C2-4AE9-9C9F-F73E165328B2}"/>
            </a:ext>
          </a:extLst>
        </xdr:cNvPr>
        <xdr:cNvSpPr txBox="1"/>
      </xdr:nvSpPr>
      <xdr:spPr>
        <a:xfrm>
          <a:off x="16821150" y="904875"/>
          <a:ext cx="1152525" cy="5715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Quantity</a:t>
          </a:r>
        </a:p>
        <a:p>
          <a:pPr marL="0" indent="0" algn="l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   763</a:t>
          </a:r>
        </a:p>
      </xdr:txBody>
    </xdr:sp>
    <xdr:clientData/>
  </xdr:twoCellAnchor>
  <xdr:twoCellAnchor>
    <xdr:from>
      <xdr:col>15</xdr:col>
      <xdr:colOff>304800</xdr:colOff>
      <xdr:row>9</xdr:row>
      <xdr:rowOff>19050</xdr:rowOff>
    </xdr:from>
    <xdr:to>
      <xdr:col>22</xdr:col>
      <xdr:colOff>923925</xdr:colOff>
      <xdr:row>30</xdr:row>
      <xdr:rowOff>47625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5AA8A21-CF70-4B11-8FF5-3FBE64D252BB}"/>
            </a:ext>
            <a:ext uri="{147F2762-F138-4A5C-976F-8EAC2B608ADB}">
              <a16:predDERef xmlns:a16="http://schemas.microsoft.com/office/drawing/2014/main" pred="{9D1CB67E-2A21-46AE-83A2-A7A39474B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1095375</xdr:colOff>
      <xdr:row>9</xdr:row>
      <xdr:rowOff>47625</xdr:rowOff>
    </xdr:from>
    <xdr:to>
      <xdr:col>29</xdr:col>
      <xdr:colOff>104775</xdr:colOff>
      <xdr:row>30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B2CB34-C5D3-4F2E-BE80-FBBA4B5879FB}"/>
            </a:ext>
            <a:ext uri="{147F2762-F138-4A5C-976F-8EAC2B608ADB}">
              <a16:predDERef xmlns:a16="http://schemas.microsoft.com/office/drawing/2014/main" pred="{05AA8A21-CF70-4B11-8FF5-3FBE64D25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31</xdr:row>
      <xdr:rowOff>57150</xdr:rowOff>
    </xdr:from>
    <xdr:to>
      <xdr:col>15</xdr:col>
      <xdr:colOff>85725</xdr:colOff>
      <xdr:row>51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7F171E-385B-4CBB-91AF-79510BC66941}"/>
            </a:ext>
            <a:ext uri="{147F2762-F138-4A5C-976F-8EAC2B608ADB}">
              <a16:predDERef xmlns:a16="http://schemas.microsoft.com/office/drawing/2014/main" pred="{5CB2CB34-C5D3-4F2E-BE80-FBBA4B587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314325</xdr:colOff>
      <xdr:row>31</xdr:row>
      <xdr:rowOff>66675</xdr:rowOff>
    </xdr:from>
    <xdr:to>
      <xdr:col>22</xdr:col>
      <xdr:colOff>895350</xdr:colOff>
      <xdr:row>51</xdr:row>
      <xdr:rowOff>161925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B10C84D-6900-4606-BCF4-3869C409D20F}"/>
            </a:ext>
            <a:ext uri="{147F2762-F138-4A5C-976F-8EAC2B608ADB}">
              <a16:predDERef xmlns:a16="http://schemas.microsoft.com/office/drawing/2014/main" pred="{C97F171E-385B-4CBB-91AF-79510BC66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1047750</xdr:colOff>
      <xdr:row>31</xdr:row>
      <xdr:rowOff>57150</xdr:rowOff>
    </xdr:from>
    <xdr:to>
      <xdr:col>29</xdr:col>
      <xdr:colOff>104775</xdr:colOff>
      <xdr:row>51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4E8BBF2-7A6D-44AB-9D85-DC049096E786}"/>
            </a:ext>
            <a:ext uri="{147F2762-F138-4A5C-976F-8EAC2B608ADB}">
              <a16:predDERef xmlns:a16="http://schemas.microsoft.com/office/drawing/2014/main" pred="{6B10C84D-6900-4606-BCF4-3869C409D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314325</xdr:colOff>
      <xdr:row>9</xdr:row>
      <xdr:rowOff>66675</xdr:rowOff>
    </xdr:from>
    <xdr:to>
      <xdr:col>5</xdr:col>
      <xdr:colOff>485775</xdr:colOff>
      <xdr:row>23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PaymentMethod">
              <a:extLst>
                <a:ext uri="{FF2B5EF4-FFF2-40B4-BE49-F238E27FC236}">
                  <a16:creationId xmlns:a16="http://schemas.microsoft.com/office/drawing/2014/main" id="{A8483DAC-98DF-11C7-A63B-AE487E6EAF51}"/>
                </a:ext>
                <a:ext uri="{147F2762-F138-4A5C-976F-8EAC2B608ADB}">
                  <a16:predDERef xmlns:a16="http://schemas.microsoft.com/office/drawing/2014/main" pred="{74E8BBF2-7A6D-44AB-9D85-DC049096E7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325" y="1781175"/>
              <a:ext cx="321945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304800</xdr:colOff>
      <xdr:row>23</xdr:row>
      <xdr:rowOff>180975</xdr:rowOff>
    </xdr:from>
    <xdr:to>
      <xdr:col>5</xdr:col>
      <xdr:colOff>514350</xdr:colOff>
      <xdr:row>37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Region">
              <a:extLst>
                <a:ext uri="{FF2B5EF4-FFF2-40B4-BE49-F238E27FC236}">
                  <a16:creationId xmlns:a16="http://schemas.microsoft.com/office/drawing/2014/main" id="{8251F942-70C1-102B-49E1-3F00B10E8A5C}"/>
                </a:ext>
                <a:ext uri="{147F2762-F138-4A5C-976F-8EAC2B608ADB}">
                  <a16:predDERef xmlns:a16="http://schemas.microsoft.com/office/drawing/2014/main" pred="{A8483DAC-98DF-11C7-A63B-AE487E6EAF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4562475"/>
              <a:ext cx="3257550" cy="254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276225</xdr:colOff>
      <xdr:row>37</xdr:row>
      <xdr:rowOff>152400</xdr:rowOff>
    </xdr:from>
    <xdr:to>
      <xdr:col>5</xdr:col>
      <xdr:colOff>523875</xdr:colOff>
      <xdr:row>51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Category 1">
              <a:extLst>
                <a:ext uri="{FF2B5EF4-FFF2-40B4-BE49-F238E27FC236}">
                  <a16:creationId xmlns:a16="http://schemas.microsoft.com/office/drawing/2014/main" id="{9ABD2D1B-0E99-ED7D-CCEA-443C2EA21D21}"/>
                </a:ext>
                <a:ext uri="{147F2762-F138-4A5C-976F-8EAC2B608ADB}">
                  <a16:predDERef xmlns:a16="http://schemas.microsoft.com/office/drawing/2014/main" pred="{8251F942-70C1-102B-49E1-3F00B10E8A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7200900"/>
              <a:ext cx="329565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>
    <xdr:from>
      <xdr:col>6</xdr:col>
      <xdr:colOff>142875</xdr:colOff>
      <xdr:row>9</xdr:row>
      <xdr:rowOff>47625</xdr:rowOff>
    </xdr:from>
    <xdr:to>
      <xdr:col>15</xdr:col>
      <xdr:colOff>95250</xdr:colOff>
      <xdr:row>30</xdr:row>
      <xdr:rowOff>47625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5B2D3C4-BC0C-E116-22AA-F1BE7C75FF3F}"/>
            </a:ext>
            <a:ext uri="{147F2762-F138-4A5C-976F-8EAC2B608ADB}">
              <a16:predDERef xmlns:a16="http://schemas.microsoft.com/office/drawing/2014/main" pred="{9ABD2D1B-0E99-ED7D-CCEA-443C2EA21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28575</xdr:rowOff>
    </xdr:from>
    <xdr:to>
      <xdr:col>9</xdr:col>
      <xdr:colOff>152400</xdr:colOff>
      <xdr:row>13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79396-19A1-1B3B-96FC-C068FF7C336E}"/>
            </a:ext>
            <a:ext uri="{147F2762-F138-4A5C-976F-8EAC2B608ADB}">
              <a16:predDERef xmlns:a16="http://schemas.microsoft.com/office/drawing/2014/main" pred="{3CA40699-D92B-E182-4EF2-3C75767B1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3</xdr:row>
      <xdr:rowOff>57150</xdr:rowOff>
    </xdr:from>
    <xdr:to>
      <xdr:col>10</xdr:col>
      <xdr:colOff>76200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31ACF-AB68-B244-041A-21B25ABB1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28575</xdr:rowOff>
    </xdr:from>
    <xdr:to>
      <xdr:col>9</xdr:col>
      <xdr:colOff>485775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CC8D0-1047-EEEC-0798-9EEBF3C05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3</xdr:row>
      <xdr:rowOff>9525</xdr:rowOff>
    </xdr:from>
    <xdr:to>
      <xdr:col>10</xdr:col>
      <xdr:colOff>257175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B399C-6C28-4C2B-7541-D587B17A9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3</xdr:row>
      <xdr:rowOff>152400</xdr:rowOff>
    </xdr:from>
    <xdr:to>
      <xdr:col>10</xdr:col>
      <xdr:colOff>400050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83441-EFE2-4AAC-9210-B6BFA9C69E8C}"/>
            </a:ext>
            <a:ext uri="{147F2762-F138-4A5C-976F-8EAC2B608ADB}">
              <a16:predDERef xmlns:a16="http://schemas.microsoft.com/office/drawing/2014/main" pred="{FD2B399C-6C28-4C2B-7541-D587B17A9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857250</xdr:colOff>
      <xdr:row>2</xdr:row>
      <xdr:rowOff>38100</xdr:rowOff>
    </xdr:from>
    <xdr:to>
      <xdr:col>9</xdr:col>
      <xdr:colOff>133350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7AA16-F040-9FEC-7252-1969E3049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752576967592" createdVersion="8" refreshedVersion="8" minRefreshableVersion="3" recordCount="18" xr:uid="{A0379D54-2961-4C49-9147-89019F026CAB}">
  <cacheSource type="worksheet">
    <worksheetSource name="Table3"/>
  </cacheSource>
  <cacheFields count="3">
    <cacheField name="Year" numFmtId="0">
      <sharedItems containsSemiMixedTypes="0" containsString="0" containsNumber="1" containsInteger="1" minValue="2024" maxValue="2025"/>
    </cacheField>
    <cacheField name="MonthName" numFmtId="0">
      <sharedItems count="12">
        <s v="April"/>
        <s v="November"/>
        <s v="February"/>
        <s v="September"/>
        <s v="August"/>
        <s v="June"/>
        <s v="July"/>
        <s v="March"/>
        <s v="December"/>
        <s v="October"/>
        <s v="May"/>
        <s v="January"/>
      </sharedItems>
    </cacheField>
    <cacheField name="Revenue" numFmtId="0">
      <sharedItems containsSemiMixedTypes="0" containsString="0" containsNumber="1" minValue="8391" maxValue="389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755444675924" createdVersion="8" refreshedVersion="8" minRefreshableVersion="3" recordCount="4" xr:uid="{E1F75321-3CAF-4261-8512-D3F5F216C36B}">
  <cacheSource type="worksheet">
    <worksheetSource name="Table4"/>
  </cacheSource>
  <cacheFields count="2">
    <cacheField name="PaymentMethod" numFmtId="0">
      <sharedItems count="4">
        <s v="Cash"/>
        <s v="Net Banking"/>
        <s v="UPI"/>
        <s v="Card"/>
      </sharedItems>
    </cacheField>
    <cacheField name="Total_Orders" numFmtId="0">
      <sharedItems containsSemiMixedTypes="0" containsString="0" containsNumber="1" containsInteger="1" minValue="58" maxValue="72"/>
    </cacheField>
  </cacheFields>
  <extLst>
    <ext xmlns:x14="http://schemas.microsoft.com/office/spreadsheetml/2009/9/main" uri="{725AE2AE-9491-48be-B2B4-4EB974FC3084}">
      <x14:pivotCacheDefinition pivotCacheId="5440858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756539351853" createdVersion="8" refreshedVersion="8" minRefreshableVersion="3" recordCount="4" xr:uid="{CD157080-8362-4811-9729-DE0E16F614BD}">
  <cacheSource type="worksheet">
    <worksheetSource name="Table5"/>
  </cacheSource>
  <cacheFields count="4">
    <cacheField name="Region" numFmtId="0">
      <sharedItems count="4">
        <s v="East"/>
        <s v="North"/>
        <s v="South"/>
        <s v="West"/>
      </sharedItems>
    </cacheField>
    <cacheField name="Revenue" numFmtId="0">
      <sharedItems containsSemiMixedTypes="0" containsString="0" containsNumber="1" minValue="7683" maxValue="234995"/>
    </cacheField>
    <cacheField name="Profit" numFmtId="0">
      <sharedItems containsSemiMixedTypes="0" containsString="0" containsNumber="1" minValue="1901" maxValue="56285"/>
    </cacheField>
    <cacheField name="Orders" numFmtId="0">
      <sharedItems containsSemiMixedTypes="0" containsString="0" containsNumber="1" containsInteger="1" minValue="8" maxValue="151"/>
    </cacheField>
  </cacheFields>
  <extLst>
    <ext xmlns:x14="http://schemas.microsoft.com/office/spreadsheetml/2009/9/main" uri="{725AE2AE-9491-48be-B2B4-4EB974FC3084}">
      <x14:pivotCacheDefinition pivotCacheId="203951013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757735185187" createdVersion="8" refreshedVersion="8" minRefreshableVersion="3" recordCount="10" xr:uid="{5FCD67E3-04DC-4F0E-9DFD-1DEEE3AD34CE}">
  <cacheSource type="worksheet">
    <worksheetSource name="Table6"/>
  </cacheSource>
  <cacheFields count="5">
    <cacheField name="CustomerName" numFmtId="0">
      <sharedItems count="9">
        <s v="Customer 21"/>
        <s v="Customer 16"/>
        <s v="Customer 33"/>
        <s v="Customer 10"/>
        <s v="Customer 19"/>
        <s v="Customer 5"/>
        <s v="Customer 17"/>
        <s v="Customer 14"/>
        <s v="Customer 23"/>
      </sharedItems>
    </cacheField>
    <cacheField name="Region" numFmtId="0">
      <sharedItems count="2">
        <s v="East"/>
        <s v="North"/>
      </sharedItems>
    </cacheField>
    <cacheField name="Revenue" numFmtId="0">
      <sharedItems containsSemiMixedTypes="0" containsString="0" containsNumber="1" minValue="8655" maxValue="17274"/>
    </cacheField>
    <cacheField name="Profit" numFmtId="0">
      <sharedItems containsSemiMixedTypes="0" containsString="0" containsNumber="1" minValue="2039.5" maxValue="4205"/>
    </cacheField>
    <cacheField name="Orders" numFmtId="0">
      <sharedItems containsSemiMixedTypes="0" containsString="0" containsNumber="1" containsInteger="1" minValue="3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762066435185" createdVersion="8" refreshedVersion="8" minRefreshableVersion="3" recordCount="10" xr:uid="{196E63B1-05F3-4DA0-950D-0B5EF10F6F0D}">
  <cacheSource type="worksheet">
    <worksheetSource name="Table9"/>
  </cacheSource>
  <cacheFields count="5">
    <cacheField name="ProductName" numFmtId="0">
      <sharedItems count="4">
        <s v="Desk"/>
        <s v="Jeans"/>
        <s v="Chair"/>
        <s v="Laptop"/>
      </sharedItems>
    </cacheField>
    <cacheField name="Category" numFmtId="0">
      <sharedItems/>
    </cacheField>
    <cacheField name="Revenue" numFmtId="0">
      <sharedItems containsSemiMixedTypes="0" containsString="0" containsNumber="1" minValue="12750" maxValue="23391.5"/>
    </cacheField>
    <cacheField name="Profit" numFmtId="0">
      <sharedItems containsSemiMixedTypes="0" containsString="0" containsNumber="1" minValue="2474" maxValue="6052.5"/>
    </cacheField>
    <cacheField name="Quantity_Sold" numFmtId="0">
      <sharedItems containsSemiMixedTypes="0" containsString="0" containsNumber="1" containsInteger="1" minValue="19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883396180558" createdVersion="8" refreshedVersion="8" minRefreshableVersion="3" recordCount="10" xr:uid="{E82A742F-E8A5-4A83-A38E-CD34FB32E7AD}">
  <cacheSource type="worksheet">
    <worksheetSource name="Table99"/>
  </cacheSource>
  <cacheFields count="5">
    <cacheField name="ProductName" numFmtId="0">
      <sharedItems count="4">
        <s v="Desk"/>
        <s v="Jeans"/>
        <s v="Chair"/>
        <s v="Laptop"/>
      </sharedItems>
    </cacheField>
    <cacheField name="Category" numFmtId="0">
      <sharedItems/>
    </cacheField>
    <cacheField name="Revenue" numFmtId="0">
      <sharedItems containsSemiMixedTypes="0" containsString="0" containsNumber="1" minValue="12750" maxValue="23391.5"/>
    </cacheField>
    <cacheField name="Profit" numFmtId="0">
      <sharedItems containsSemiMixedTypes="0" containsString="0" containsNumber="1" minValue="2474" maxValue="6052.5"/>
    </cacheField>
    <cacheField name="Quantity_Sold" numFmtId="0">
      <sharedItems containsSemiMixedTypes="0" containsString="0" containsNumber="1" containsInteger="1" minValue="19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441617013887" createdVersion="8" refreshedVersion="8" minRefreshableVersion="3" recordCount="3" xr:uid="{3CD901A3-408F-48CF-8386-3AE10A23C3F3}">
  <cacheSource type="worksheet">
    <worksheetSource name="Table1"/>
  </cacheSource>
  <cacheFields count="4">
    <cacheField name="Category" numFmtId="0">
      <sharedItems count="3">
        <s v="Electronics"/>
        <s v="Fashion"/>
        <s v="Furniture"/>
      </sharedItems>
    </cacheField>
    <cacheField name="Revenue" numFmtId="0">
      <sharedItems containsSemiMixedTypes="0" containsString="0" containsNumber="1" minValue="10134" maxValue="312514.5"/>
    </cacheField>
    <cacheField name="Profit" numFmtId="0">
      <sharedItems containsSemiMixedTypes="0" containsString="0" containsNumber="1" minValue="2602" maxValue="74983.5"/>
    </cacheField>
    <cacheField name="Quantity_Sold" numFmtId="0">
      <sharedItems containsSemiMixedTypes="0" containsString="0" containsNumber="1" containsInteger="1" minValue="25" maxValue="614"/>
    </cacheField>
  </cacheFields>
  <extLst>
    <ext xmlns:x14="http://schemas.microsoft.com/office/spreadsheetml/2009/9/main" uri="{725AE2AE-9491-48be-B2B4-4EB974FC3084}">
      <x14:pivotCacheDefinition pivotCacheId="12845752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4"/>
    <x v="0"/>
    <n v="26902"/>
  </r>
  <r>
    <n v="2024"/>
    <x v="1"/>
    <n v="36571.5"/>
  </r>
  <r>
    <n v="2025"/>
    <x v="0"/>
    <n v="24971.5"/>
  </r>
  <r>
    <n v="2024"/>
    <x v="2"/>
    <n v="24503"/>
  </r>
  <r>
    <n v="2024"/>
    <x v="3"/>
    <n v="13134"/>
  </r>
  <r>
    <n v="2024"/>
    <x v="4"/>
    <n v="13570.5"/>
  </r>
  <r>
    <n v="2024"/>
    <x v="5"/>
    <n v="38953"/>
  </r>
  <r>
    <n v="2024"/>
    <x v="6"/>
    <n v="12360.5"/>
  </r>
  <r>
    <n v="2025"/>
    <x v="7"/>
    <n v="25886"/>
  </r>
  <r>
    <n v="2024"/>
    <x v="7"/>
    <n v="15232"/>
  </r>
  <r>
    <n v="2025"/>
    <x v="5"/>
    <n v="20666.5"/>
  </r>
  <r>
    <n v="2024"/>
    <x v="8"/>
    <n v="25629.5"/>
  </r>
  <r>
    <n v="2025"/>
    <x v="2"/>
    <n v="19902.5"/>
  </r>
  <r>
    <n v="2024"/>
    <x v="9"/>
    <n v="9120"/>
  </r>
  <r>
    <n v="2025"/>
    <x v="10"/>
    <n v="17561"/>
  </r>
  <r>
    <n v="2024"/>
    <x v="11"/>
    <n v="33813"/>
  </r>
  <r>
    <n v="2025"/>
    <x v="11"/>
    <n v="17551"/>
  </r>
  <r>
    <n v="2024"/>
    <x v="10"/>
    <n v="83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2"/>
  </r>
  <r>
    <x v="1"/>
    <n v="61"/>
  </r>
  <r>
    <x v="2"/>
    <n v="59"/>
  </r>
  <r>
    <x v="3"/>
    <n v="5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34995"/>
    <n v="56285"/>
    <n v="151"/>
  </r>
  <r>
    <x v="1"/>
    <n v="102756"/>
    <n v="25028"/>
    <n v="64"/>
  </r>
  <r>
    <x v="2"/>
    <n v="39284.5"/>
    <n v="9625.5"/>
    <n v="27"/>
  </r>
  <r>
    <x v="3"/>
    <n v="7683"/>
    <n v="1901"/>
    <n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7274"/>
    <n v="4205"/>
    <n v="10"/>
  </r>
  <r>
    <x v="1"/>
    <x v="1"/>
    <n v="12137"/>
    <n v="2988"/>
    <n v="6"/>
  </r>
  <r>
    <x v="2"/>
    <x v="0"/>
    <n v="11647"/>
    <n v="2883"/>
    <n v="6"/>
  </r>
  <r>
    <x v="3"/>
    <x v="0"/>
    <n v="10958.5"/>
    <n v="2698.5"/>
    <n v="9"/>
  </r>
  <r>
    <x v="3"/>
    <x v="0"/>
    <n v="10509"/>
    <n v="2235"/>
    <n v="7"/>
  </r>
  <r>
    <x v="4"/>
    <x v="1"/>
    <n v="9803.5"/>
    <n v="2152.5"/>
    <n v="6"/>
  </r>
  <r>
    <x v="5"/>
    <x v="1"/>
    <n v="9479"/>
    <n v="2045"/>
    <n v="4"/>
  </r>
  <r>
    <x v="6"/>
    <x v="0"/>
    <n v="9354.5"/>
    <n v="2039.5"/>
    <n v="3"/>
  </r>
  <r>
    <x v="7"/>
    <x v="1"/>
    <n v="8979.5"/>
    <n v="2210.5"/>
    <n v="5"/>
  </r>
  <r>
    <x v="8"/>
    <x v="0"/>
    <n v="8655"/>
    <n v="2138"/>
    <n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Electronics"/>
    <n v="23391.5"/>
    <n v="6052.5"/>
    <n v="41"/>
  </r>
  <r>
    <x v="1"/>
    <s v="Electronics"/>
    <n v="20940"/>
    <n v="4959"/>
    <n v="31"/>
  </r>
  <r>
    <x v="2"/>
    <s v="Electronics"/>
    <n v="17769"/>
    <n v="4329"/>
    <n v="29"/>
  </r>
  <r>
    <x v="2"/>
    <s v="Electronics"/>
    <n v="16281"/>
    <n v="4283"/>
    <n v="33"/>
  </r>
  <r>
    <x v="1"/>
    <s v="Electronics"/>
    <n v="14594.5"/>
    <n v="3205.5"/>
    <n v="24"/>
  </r>
  <r>
    <x v="2"/>
    <s v="Electronics"/>
    <n v="13883"/>
    <n v="3068"/>
    <n v="28"/>
  </r>
  <r>
    <x v="2"/>
    <s v="Electronics"/>
    <n v="13813"/>
    <n v="3194"/>
    <n v="26"/>
  </r>
  <r>
    <x v="2"/>
    <s v="Electronics"/>
    <n v="13462.5"/>
    <n v="3263.5"/>
    <n v="23"/>
  </r>
  <r>
    <x v="3"/>
    <s v="Electronics"/>
    <n v="13365"/>
    <n v="3201"/>
    <n v="19"/>
  </r>
  <r>
    <x v="2"/>
    <s v="Electronics"/>
    <n v="12750"/>
    <n v="2474"/>
    <n v="3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Electronics"/>
    <n v="23391.5"/>
    <n v="6052.5"/>
    <n v="41"/>
  </r>
  <r>
    <x v="1"/>
    <s v="Electronics"/>
    <n v="20940"/>
    <n v="4959"/>
    <n v="31"/>
  </r>
  <r>
    <x v="2"/>
    <s v="Electronics"/>
    <n v="17769"/>
    <n v="4329"/>
    <n v="29"/>
  </r>
  <r>
    <x v="2"/>
    <s v="Electronics"/>
    <n v="16281"/>
    <n v="4283"/>
    <n v="33"/>
  </r>
  <r>
    <x v="1"/>
    <s v="Electronics"/>
    <n v="14594.5"/>
    <n v="3205.5"/>
    <n v="24"/>
  </r>
  <r>
    <x v="2"/>
    <s v="Electronics"/>
    <n v="13883"/>
    <n v="3068"/>
    <n v="28"/>
  </r>
  <r>
    <x v="2"/>
    <s v="Electronics"/>
    <n v="13813"/>
    <n v="3194"/>
    <n v="26"/>
  </r>
  <r>
    <x v="2"/>
    <s v="Electronics"/>
    <n v="13462.5"/>
    <n v="3263.5"/>
    <n v="23"/>
  </r>
  <r>
    <x v="3"/>
    <s v="Electronics"/>
    <n v="13365"/>
    <n v="3201"/>
    <n v="19"/>
  </r>
  <r>
    <x v="2"/>
    <s v="Electronics"/>
    <n v="12750"/>
    <n v="2474"/>
    <n v="3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12514.5"/>
    <n v="74983.5"/>
    <n v="614"/>
  </r>
  <r>
    <x v="1"/>
    <n v="62070"/>
    <n v="15254"/>
    <n v="124"/>
  </r>
  <r>
    <x v="2"/>
    <n v="10134"/>
    <n v="2602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937D3-B2E4-43DD-BA37-9AD8EE5CACDD}" name="PivotTable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K12:L24" firstHeaderRow="1" firstDataRow="1" firstDataCol="1"/>
  <pivotFields count="3">
    <pivotField compact="0" outline="0" showAll="0"/>
    <pivotField axis="axisRow" compact="0" outline="0" showAll="0">
      <items count="13">
        <item x="11"/>
        <item h="1" x="2"/>
        <item x="7"/>
        <item x="0"/>
        <item x="10"/>
        <item x="5"/>
        <item x="6"/>
        <item x="4"/>
        <item x="3"/>
        <item x="9"/>
        <item x="1"/>
        <item x="8"/>
        <item t="default"/>
      </items>
    </pivotField>
    <pivotField dataField="1" compact="0" outline="0" showAll="0"/>
  </pivotFields>
  <rowFields count="1">
    <field x="1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7A9C5-65EC-4171-A5D9-1F44C338D1C8}" name="PivotTable1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7" firstHeaderRow="1" firstDataRow="1" firstDataCol="1"/>
  <pivotFields count="4"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 numFmtId="164"/>
  </dataFields>
  <formats count="1">
    <format dxfId="14">
      <pivotArea outline="0" collapsedLevelsAreSubtotals="1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FC2B6-5239-4E36-AB02-900091544165}" name="PivotTable11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0" firstDataRow="1" firstDataCol="1"/>
  <pivotFields count="5"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Profit" fld="3" baseField="0" baseItem="0"/>
    <dataField name="Sum of Quantity_Sold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B2863-5D74-4121-A2D3-120EB2E44824}" name="PivotTable7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7:F36" firstHeaderRow="1" firstDataRow="1" firstDataCol="2"/>
  <pivotFields count="5">
    <pivotField axis="axisRow" compact="0" outline="0" showAll="0">
      <items count="10">
        <item x="3"/>
        <item x="7"/>
        <item x="1"/>
        <item x="6"/>
        <item x="4"/>
        <item x="0"/>
        <item x="8"/>
        <item x="2"/>
        <item x="5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9">
    <i>
      <x/>
      <x/>
    </i>
    <i t="default">
      <x/>
    </i>
    <i>
      <x v="1"/>
      <x v="1"/>
    </i>
    <i t="default">
      <x v="1"/>
    </i>
    <i>
      <x v="2"/>
      <x v="1"/>
    </i>
    <i t="default">
      <x v="2"/>
    </i>
    <i>
      <x v="3"/>
      <x/>
    </i>
    <i t="default">
      <x v="3"/>
    </i>
    <i>
      <x v="4"/>
      <x v="1"/>
    </i>
    <i t="default">
      <x v="4"/>
    </i>
    <i>
      <x v="5"/>
      <x/>
    </i>
    <i t="default">
      <x v="5"/>
    </i>
    <i>
      <x v="6"/>
      <x/>
    </i>
    <i t="default">
      <x v="6"/>
    </i>
    <i>
      <x v="7"/>
      <x/>
    </i>
    <i t="default">
      <x v="7"/>
    </i>
    <i>
      <x v="8"/>
      <x v="1"/>
    </i>
    <i t="default">
      <x v="8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12">
      <pivotArea outline="0" collapsedLevelsAreSubtotals="1" fieldPosition="0"/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3BF64-8B3E-4531-A421-02443D36A822}" name="PivotTable6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O6:P18" firstHeaderRow="1" firstDataRow="1" firstDataCol="1"/>
  <pivotFields count="3">
    <pivotField compact="0" outline="0" showAll="0"/>
    <pivotField axis="axisRow" compact="0" outline="0" showAll="0">
      <items count="13">
        <item x="11"/>
        <item h="1" x="2"/>
        <item x="7"/>
        <item x="0"/>
        <item x="10"/>
        <item x="5"/>
        <item x="6"/>
        <item x="4"/>
        <item x="3"/>
        <item x="9"/>
        <item x="1"/>
        <item x="8"/>
        <item t="default"/>
      </items>
    </pivotField>
    <pivotField dataField="1" compact="0" outline="0" showAll="0"/>
  </pivotFields>
  <rowFields count="1">
    <field x="1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10">
      <pivotArea outline="0" collapsedLevelsAreSubtotals="1" fieldPosition="0"/>
    </format>
    <format dxfId="11">
      <pivotArea dataOnly="0" labelOnly="1" outline="0" axis="axisValues" fieldPosition="0"/>
    </format>
  </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970E2-0DE1-4D53-AA69-1C5320DA374F}" name="PivotTable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0:E15" firstHeaderRow="0" firstDataRow="1" firstDataCol="1"/>
  <pivotFields count="4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 numFmtId="164"/>
    <dataField name="Sum of Orders" fld="3" baseField="0" baseItem="0"/>
    <dataField name="Sum of Profit" fld="2" baseField="0" baseItem="0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B4EB5-5DF3-4A67-973C-0148AC1764D1}" name="PivotTable5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6:G10" firstHeaderRow="1" firstDataRow="1" firstDataCol="1"/>
  <pivotFields count="4"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 numFmtId="164"/>
  </dataFields>
  <formats count="1">
    <format dxfId="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E7744-76B5-4CA8-8D71-2606F13F8124}" name="PivotTable8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:E17" firstHeaderRow="0" firstDataRow="1" firstDataCol="1"/>
  <pivotFields count="5"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Profit" fld="3" baseField="0" baseItem="0"/>
    <dataField name="Sum of Quantity_Sold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57086-0CA3-415C-954F-F5CAEBF5250A}" name="PivotTable3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5" firstHeaderRow="1" firstDataRow="1" firstDataCol="1"/>
  <pivotFields count="3">
    <pivotField compact="0" outline="0" showAll="0"/>
    <pivotField axis="axisRow" compact="0" outline="0" showAll="0">
      <items count="13">
        <item x="11"/>
        <item h="1" x="2"/>
        <item x="7"/>
        <item x="0"/>
        <item x="10"/>
        <item x="5"/>
        <item x="6"/>
        <item x="4"/>
        <item x="3"/>
        <item x="9"/>
        <item x="1"/>
        <item x="8"/>
        <item t="default"/>
      </items>
    </pivotField>
    <pivotField dataField="1" compact="0" outline="0" showAll="0"/>
  </pivotFields>
  <rowFields count="1">
    <field x="1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5">
      <pivotArea outline="0" collapsedLevelsAreSubtotals="1" fieldPosition="0"/>
    </format>
    <format dxfId="6">
      <pivotArea dataOnly="0" labelOnly="1" outline="0" axis="axisValues" fieldPosition="0"/>
    </format>
  </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99864-8718-4A25-B541-22DDD1C9AC4E}" name="PivotTable4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">
    <pivotField axis="axisRow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Orders" fld="1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7CB62-C45B-459E-AD8F-EDCBEBBEC585}" name="PivotTable5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4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 numFmtId="164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9FD70-23EF-409B-8CFD-DFBCF1BCF6AF}" name="PivotTable6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3" firstHeaderRow="1" firstDataRow="1" firstDataCol="1"/>
  <pivotFields count="5">
    <pivotField axis="axisRow" compact="0" outline="0" showAll="0">
      <items count="10">
        <item x="3"/>
        <item x="7"/>
        <item x="1"/>
        <item x="6"/>
        <item x="4"/>
        <item x="0"/>
        <item x="8"/>
        <item x="2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2" baseField="0" baseItem="0" numFmtId="164"/>
  </dataFields>
  <formats count="2">
    <format dxfId="1">
      <pivotArea outline="0" collapsedLevelsAreSubtotals="1" fieldPosition="0"/>
    </format>
    <format dxfId="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856BD-5F3C-4599-951E-A75BBA25693C}" name="PivotTable7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5"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AB95E6FD-F620-4160-A6B8-D3A83CF5D6F0}" sourceName="PaymentMethod">
  <pivotTables>
    <pivotTable tabId="11" name="PivotTable4"/>
  </pivotTables>
  <data>
    <tabular pivotCacheId="544085875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EEB5637D-895B-44AA-ABC7-8007B8A8D92D}" sourceName="Region">
  <pivotTables>
    <pivotTable tabId="1" name="PivotTable1"/>
    <pivotTable tabId="12" name="PivotTable5"/>
  </pivotTables>
  <data>
    <tabular pivotCacheId="2039510132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5262E71A-21FF-4131-AD1B-A4B0C304BB68}" sourceName="Category">
  <pivotTables>
    <pivotTable tabId="8" name="PivotTable1"/>
    <pivotTable tabId="1" name="PivotTable5"/>
  </pivotTables>
  <data>
    <tabular pivotCacheId="128457522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Method" xr10:uid="{694905EC-5E48-454E-87A7-46A854D9A7FB}" cache="Slicer_PaymentMethod" caption="PaymentMethod" startItem="1" style="SlicerStyleLight5" rowHeight="1190625"/>
  <slicer name="Region" xr10:uid="{2042DECF-805B-40B8-A496-CE8CE2456099}" cache="Slicer_Region" caption="Region" style="SlicerStyleDark2" rowHeight="1095375"/>
  <slicer name="Category 1" xr10:uid="{B7651568-C1AE-4753-97C1-4B0CD1A7A502}" cache="Slicer_Category1" caption="Category" rowHeight="15525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E9203-B950-41C0-9C73-27736716E8B8}" name="Table1" displayName="Table1" ref="A1:D4" totalsRowShown="0">
  <autoFilter ref="A1:D4" xr:uid="{748E9203-B950-41C0-9C73-27736716E8B8}"/>
  <tableColumns count="4">
    <tableColumn id="1" xr3:uid="{05B00A83-1422-42A3-98A6-45CB2D61EF11}" name="Category"/>
    <tableColumn id="2" xr3:uid="{6FE1FB48-8F97-4B94-A1AE-826C9409EB61}" name="Revenue"/>
    <tableColumn id="3" xr3:uid="{69CF1C4F-FFD0-4CD7-8486-2E89D2B43A4B}" name="Profit"/>
    <tableColumn id="4" xr3:uid="{B941FEDF-1E9A-4DB4-9EB5-EDC1DEBDB74F}" name="Quantity_S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4A6039-415E-4FA7-B1FE-86D7E400AA66}" name="Table28711" displayName="Table28711" ref="G13:M14" totalsRowShown="0">
  <autoFilter ref="G13:M14" xr:uid="{5F4A6039-415E-4FA7-B1FE-86D7E400AA66}"/>
  <tableColumns count="7">
    <tableColumn id="1" xr3:uid="{0B1259A2-980A-4BE7-A049-887422F306E5}" name="Total_Orders"/>
    <tableColumn id="2" xr3:uid="{505E28BC-DF36-4F45-A380-8C004307356B}" name="Total_Customers"/>
    <tableColumn id="3" xr3:uid="{D203E258-430F-4B05-AC63-539301589DE8}" name="Total_Products"/>
    <tableColumn id="4" xr3:uid="{10FB3DFD-0937-4CDF-AD82-C496A11A8216}" name="Total_Revenue"/>
    <tableColumn id="5" xr3:uid="{A9DFE5F7-A9E6-4FD5-86A6-0415047B3843}" name="Total_Profit"/>
    <tableColumn id="6" xr3:uid="{DBC4AF66-43BA-457C-982D-3168212ACA31}" name="Total_Quantity"/>
    <tableColumn id="7" xr3:uid="{BE5100C9-3DF0-4C82-9040-A75EAF163566}" name="Average_Order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E020A1-C1A8-47AC-A926-A3B55F395D92}" name="Table28" displayName="Table28" ref="G16:M17" totalsRowShown="0">
  <autoFilter ref="G16:M17" xr:uid="{55E020A1-C1A8-47AC-A926-A3B55F395D92}"/>
  <tableColumns count="7">
    <tableColumn id="1" xr3:uid="{570D318E-7271-44DA-8554-66C8DAD187BA}" name="Total_Orders"/>
    <tableColumn id="2" xr3:uid="{3C4764D2-63C5-4939-B068-CD6E94B2A9FF}" name="Total_Customers"/>
    <tableColumn id="3" xr3:uid="{A3BE314C-BAC0-4E78-9241-1DF341617E19}" name="Total_Products"/>
    <tableColumn id="4" xr3:uid="{9E3FB06A-EED5-42A3-BFA5-361CB862D427}" name="Total_Revenue"/>
    <tableColumn id="5" xr3:uid="{180C18ED-E686-4E61-A40E-4CBF76664F8C}" name="Total_Profit"/>
    <tableColumn id="6" xr3:uid="{42BC7D92-9067-492E-8D1E-72F8C1F4489C}" name="Total_Quantity"/>
    <tableColumn id="7" xr3:uid="{3F97380E-834A-41C7-A533-85E0355DE2E5}" name="Average_Order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4974CB-E49B-4616-ACED-393A4A157A0D}" name="Table2" displayName="Table2" ref="A1:G2" totalsRowShown="0">
  <autoFilter ref="A1:G2" xr:uid="{9F4974CB-E49B-4616-ACED-393A4A157A0D}"/>
  <tableColumns count="7">
    <tableColumn id="1" xr3:uid="{4CA77145-DB37-4C44-A822-8820E38BB497}" name="Total_Orders"/>
    <tableColumn id="2" xr3:uid="{876D1C94-C477-4A15-90EA-896352FC1D17}" name="Total_Customers"/>
    <tableColumn id="3" xr3:uid="{BAF05A23-F2EE-4266-9C21-6CF9F6EE0A88}" name="Total_Products"/>
    <tableColumn id="4" xr3:uid="{FB5EDA0E-512F-43DB-BA12-7E513A5192EC}" name="Total_Revenue"/>
    <tableColumn id="5" xr3:uid="{7DDF555F-AEEE-4CF3-A095-C46630C58149}" name="Total_Profit"/>
    <tableColumn id="6" xr3:uid="{46A1B035-F311-4E06-AAB6-E2F4F1EF0729}" name="Total_Quantity"/>
    <tableColumn id="7" xr3:uid="{48A2282B-C8A9-40B1-9C6B-AC042CA5E1A0}" name="Average_Order_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71D6F7-62B6-487D-A431-D1CF763E3CBF}" name="Table99" displayName="Table99" ref="F12:J22" totalsRowShown="0">
  <autoFilter ref="F12:J22" xr:uid="{E271D6F7-62B6-487D-A431-D1CF763E3CBF}"/>
  <tableColumns count="5">
    <tableColumn id="1" xr3:uid="{657E23FC-DB58-48D7-BD0C-C4FFEDFCBB48}" name="ProductName"/>
    <tableColumn id="2" xr3:uid="{25BE942F-4EF8-41F4-95B3-B1820CF87A44}" name="Category"/>
    <tableColumn id="3" xr3:uid="{55AA2D85-71B1-4B53-A726-69E005D2535A}" name="Revenue"/>
    <tableColumn id="4" xr3:uid="{2F6A93D2-11F8-4BBF-B7D3-1BA86AF00FC8}" name="Profit"/>
    <tableColumn id="5" xr3:uid="{D7B95755-471F-4B41-8517-0846953E2706}" name="Quantity_So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17578B-DA57-4466-AF80-DA013DAB2CE6}" name="Table3" displayName="Table3" ref="A1:C19" totalsRowShown="0">
  <autoFilter ref="A1:C19" xr:uid="{1917578B-DA57-4466-AF80-DA013DAB2CE6}"/>
  <tableColumns count="3">
    <tableColumn id="1" xr3:uid="{2E8CE6DA-260A-4D52-B482-4E3FE23E862F}" name="Year"/>
    <tableColumn id="2" xr3:uid="{02BE4271-15A0-48E4-9EFC-BB84815BCE34}" name="MonthName"/>
    <tableColumn id="3" xr3:uid="{E9CD8C5F-D8E8-4B65-AE20-DB4F1EF6BD02}" name="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CA1662-EF1E-4753-8C43-2F0A3E4CFC6D}" name="Table287" displayName="Table287" ref="H15:N16" totalsRowShown="0">
  <autoFilter ref="H15:N16" xr:uid="{ECCA1662-EF1E-4753-8C43-2F0A3E4CFC6D}"/>
  <tableColumns count="7">
    <tableColumn id="1" xr3:uid="{707C67FF-2105-4EFD-B64A-C4C8A75F7FD8}" name="Total_Orders"/>
    <tableColumn id="2" xr3:uid="{0B94FF96-BC44-4D25-8C05-C8337A820930}" name="Total_Customers"/>
    <tableColumn id="3" xr3:uid="{4555062E-E64C-4B49-A008-3274F4CE6A4B}" name="Total_Products"/>
    <tableColumn id="4" xr3:uid="{97FFD759-D858-4BB3-9A9C-42057C9A8431}" name="Total_Revenue"/>
    <tableColumn id="5" xr3:uid="{BDB60992-CF13-4D08-8608-5D540D404BFA}" name="Total_Profit"/>
    <tableColumn id="6" xr3:uid="{62C30BC6-A946-4F3C-B2FD-5D9566E61A8D}" name="Total_Quantity"/>
    <tableColumn id="7" xr3:uid="{81A1DE04-60DB-45BB-AC07-770D62557FB8}" name="Average_Order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667BF-6DCE-467C-91C7-C222651729F5}" name="Table4" displayName="Table4" ref="A1:B5" totalsRowShown="0">
  <autoFilter ref="A1:B5" xr:uid="{467667BF-6DCE-467C-91C7-C222651729F5}"/>
  <tableColumns count="2">
    <tableColumn id="1" xr3:uid="{44CF29B1-D122-4BD1-BAFC-B7B20561B3C8}" name="PaymentMethod"/>
    <tableColumn id="2" xr3:uid="{B2BAB4E1-8DFC-449A-946A-F593BE86CDE2}" name="Total_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8119AA-B052-4102-9326-6458D78AA698}" name="Table5" displayName="Table5" ref="A1:D5" totalsRowShown="0">
  <autoFilter ref="A1:D5" xr:uid="{8B8119AA-B052-4102-9326-6458D78AA698}"/>
  <tableColumns count="4">
    <tableColumn id="1" xr3:uid="{D435FDD0-51F0-4B1C-9CE5-1A30466E3A81}" name="Region"/>
    <tableColumn id="2" xr3:uid="{39DD22AA-12D0-4259-B9D7-1C7F946AC3E4}" name="Revenue"/>
    <tableColumn id="3" xr3:uid="{FAE05399-4852-4144-9DB1-C0B6A6196EA4}" name="Profit"/>
    <tableColumn id="4" xr3:uid="{8A03306D-6C71-4373-AEAC-5878D1201AC9}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0E298A-9A73-417C-8A31-A887DB897677}" name="Table9" displayName="Table9" ref="A1:E11" totalsRowShown="0">
  <autoFilter ref="A1:E11" xr:uid="{6D0E298A-9A73-417C-8A31-A887DB897677}"/>
  <tableColumns count="5">
    <tableColumn id="1" xr3:uid="{95137EFF-18EE-4C2D-87C8-837251776A1D}" name="ProductName"/>
    <tableColumn id="2" xr3:uid="{4E7A0543-71F4-426D-81E7-80CD3F14DE3D}" name="Category"/>
    <tableColumn id="3" xr3:uid="{185D8BCA-EE1E-49AE-8625-EFEB18B0C3F7}" name="Revenue"/>
    <tableColumn id="4" xr3:uid="{331A86A3-731C-414B-9826-F0BE8E806123}" name="Profit"/>
    <tableColumn id="5" xr3:uid="{7E671A4F-E463-4E9E-92EA-D0A16BF78BE2}" name="Quantity_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6421CF-6B75-4D13-B554-7C3F5EE264F3}">
  <we:reference id="wa104380194" version="1.1.2.0" store="en-US" storeType="omex"/>
  <we:alternateReferences>
    <we:reference id="wa104380194" version="1.1.2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4C44-BD97-4D1D-B511-B40023A7EF2A}">
  <dimension ref="A3:O24"/>
  <sheetViews>
    <sheetView workbookViewId="0">
      <selection activeCell="A3" sqref="A3:B7"/>
    </sheetView>
  </sheetViews>
  <sheetFormatPr defaultRowHeight="15"/>
  <cols>
    <col min="1" max="1" width="12.28515625" bestFit="1" customWidth="1"/>
    <col min="2" max="2" width="15.42578125" bestFit="1" customWidth="1"/>
  </cols>
  <sheetData>
    <row r="3" spans="1:15">
      <c r="A3" s="1" t="s">
        <v>0</v>
      </c>
      <c r="B3" t="s">
        <v>1</v>
      </c>
    </row>
    <row r="4" spans="1:15">
      <c r="A4" t="s">
        <v>2</v>
      </c>
      <c r="B4" s="3">
        <v>312514.5</v>
      </c>
    </row>
    <row r="5" spans="1:15">
      <c r="A5" t="s">
        <v>3</v>
      </c>
      <c r="B5" s="3">
        <v>62070</v>
      </c>
    </row>
    <row r="6" spans="1:15">
      <c r="A6" t="s">
        <v>4</v>
      </c>
      <c r="B6" s="3">
        <v>10134</v>
      </c>
      <c r="K6" s="4" t="s">
        <v>5</v>
      </c>
      <c r="L6" s="5" t="s">
        <v>6</v>
      </c>
      <c r="M6" s="6" t="s">
        <v>7</v>
      </c>
      <c r="N6" s="7" t="s">
        <v>8</v>
      </c>
      <c r="O6" s="5" t="s">
        <v>9</v>
      </c>
    </row>
    <row r="7" spans="1:15">
      <c r="A7" t="s">
        <v>10</v>
      </c>
      <c r="B7" s="3">
        <v>384718.5</v>
      </c>
      <c r="K7" s="8">
        <v>40</v>
      </c>
      <c r="L7" s="9">
        <v>384718.5</v>
      </c>
      <c r="M7" s="10">
        <v>92839.5</v>
      </c>
      <c r="N7" s="11">
        <v>763</v>
      </c>
      <c r="O7" s="9">
        <v>1538.87</v>
      </c>
    </row>
    <row r="12" spans="1:15">
      <c r="K12" s="1" t="s">
        <v>11</v>
      </c>
      <c r="L12" s="3" t="s">
        <v>1</v>
      </c>
    </row>
    <row r="13" spans="1:15">
      <c r="K13" t="s">
        <v>12</v>
      </c>
      <c r="L13" s="3">
        <v>51364</v>
      </c>
    </row>
    <row r="14" spans="1:15">
      <c r="K14" t="s">
        <v>13</v>
      </c>
      <c r="L14" s="3">
        <v>41118</v>
      </c>
    </row>
    <row r="15" spans="1:15">
      <c r="K15" t="s">
        <v>14</v>
      </c>
      <c r="L15" s="3">
        <v>51873.5</v>
      </c>
    </row>
    <row r="16" spans="1:15">
      <c r="K16" t="s">
        <v>15</v>
      </c>
      <c r="L16" s="3">
        <v>25952</v>
      </c>
    </row>
    <row r="17" spans="11:12">
      <c r="K17" t="s">
        <v>16</v>
      </c>
      <c r="L17" s="3">
        <v>59619.5</v>
      </c>
    </row>
    <row r="18" spans="11:12">
      <c r="K18" t="s">
        <v>17</v>
      </c>
      <c r="L18" s="3">
        <v>12360.5</v>
      </c>
    </row>
    <row r="19" spans="11:12">
      <c r="K19" t="s">
        <v>18</v>
      </c>
      <c r="L19" s="3">
        <v>13570.5</v>
      </c>
    </row>
    <row r="20" spans="11:12">
      <c r="K20" t="s">
        <v>19</v>
      </c>
      <c r="L20" s="3">
        <v>13134</v>
      </c>
    </row>
    <row r="21" spans="11:12">
      <c r="K21" t="s">
        <v>20</v>
      </c>
      <c r="L21" s="3">
        <v>9120</v>
      </c>
    </row>
    <row r="22" spans="11:12">
      <c r="K22" t="s">
        <v>21</v>
      </c>
      <c r="L22" s="3">
        <v>36571.5</v>
      </c>
    </row>
    <row r="23" spans="11:12">
      <c r="K23" t="s">
        <v>22</v>
      </c>
      <c r="L23" s="3">
        <v>25629.5</v>
      </c>
    </row>
    <row r="24" spans="11:12">
      <c r="K24" t="s">
        <v>10</v>
      </c>
      <c r="L24" s="3">
        <v>340313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4A8B-AC5B-404B-AE9A-98EB1CAE10ED}">
  <dimension ref="A3:D8"/>
  <sheetViews>
    <sheetView workbookViewId="0">
      <selection activeCell="A3" sqref="A3:D8"/>
    </sheetView>
  </sheetViews>
  <sheetFormatPr defaultRowHeight="15"/>
  <cols>
    <col min="1" max="1" width="16.7109375" bestFit="1" customWidth="1"/>
    <col min="2" max="2" width="15.42578125" bestFit="1" customWidth="1"/>
    <col min="3" max="3" width="12.5703125" bestFit="1" customWidth="1"/>
    <col min="4" max="4" width="20.42578125" bestFit="1" customWidth="1"/>
  </cols>
  <sheetData>
    <row r="3" spans="1:4">
      <c r="A3" s="1" t="s">
        <v>23</v>
      </c>
      <c r="B3" t="s">
        <v>1</v>
      </c>
      <c r="C3" t="s">
        <v>24</v>
      </c>
      <c r="D3" t="s">
        <v>25</v>
      </c>
    </row>
    <row r="4" spans="1:4">
      <c r="A4" t="s">
        <v>26</v>
      </c>
      <c r="B4" s="2">
        <v>87958.5</v>
      </c>
      <c r="C4" s="2">
        <v>20611.5</v>
      </c>
      <c r="D4" s="2">
        <v>170</v>
      </c>
    </row>
    <row r="5" spans="1:4">
      <c r="A5" t="s">
        <v>27</v>
      </c>
      <c r="B5" s="2">
        <v>23391.5</v>
      </c>
      <c r="C5" s="2">
        <v>6052.5</v>
      </c>
      <c r="D5" s="2">
        <v>41</v>
      </c>
    </row>
    <row r="6" spans="1:4">
      <c r="A6" t="s">
        <v>28</v>
      </c>
      <c r="B6" s="2">
        <v>35534.5</v>
      </c>
      <c r="C6" s="2">
        <v>8164.5</v>
      </c>
      <c r="D6" s="2">
        <v>55</v>
      </c>
    </row>
    <row r="7" spans="1:4">
      <c r="A7" t="s">
        <v>29</v>
      </c>
      <c r="B7" s="2">
        <v>13365</v>
      </c>
      <c r="C7" s="2">
        <v>3201</v>
      </c>
      <c r="D7" s="2">
        <v>19</v>
      </c>
    </row>
    <row r="8" spans="1:4">
      <c r="A8" t="s">
        <v>10</v>
      </c>
      <c r="B8" s="2">
        <v>160249.5</v>
      </c>
      <c r="C8" s="2">
        <v>38029.5</v>
      </c>
      <c r="D8" s="2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118D-7744-4AAF-A1EC-8162C16511DF}">
  <dimension ref="A1"/>
  <sheetViews>
    <sheetView showGridLines="0" showRowColHeaders="0" tabSelected="1" workbookViewId="0">
      <selection activeCell="V40" sqref="V40:X45"/>
    </sheetView>
  </sheetViews>
  <sheetFormatPr defaultRowHeight="15"/>
  <cols>
    <col min="13" max="13" width="18.42578125" bestFit="1" customWidth="1"/>
    <col min="14" max="14" width="10.28515625" bestFit="1" customWidth="1"/>
    <col min="15" max="15" width="16.28515625" bestFit="1" customWidth="1"/>
    <col min="17" max="17" width="11.42578125" bestFit="1" customWidth="1"/>
    <col min="18" max="18" width="15.42578125" bestFit="1" customWidth="1"/>
    <col min="19" max="19" width="13.85546875" bestFit="1" customWidth="1"/>
    <col min="20" max="20" width="14.42578125" bestFit="1" customWidth="1"/>
    <col min="21" max="21" width="15.42578125" bestFit="1" customWidth="1"/>
    <col min="22" max="22" width="19" bestFit="1" customWidth="1"/>
    <col min="23" max="23" width="19.28515625" bestFit="1" customWidth="1"/>
    <col min="24" max="24" width="12.28515625" bestFit="1" customWidth="1"/>
    <col min="25" max="25" width="15.42578125" bestFit="1" customWidth="1"/>
    <col min="26" max="28" width="14.28515625" bestFit="1" customWidth="1"/>
    <col min="29" max="29" width="14.42578125" bestFit="1" customWidth="1"/>
  </cols>
  <sheetData/>
  <pageMargins left="0.7" right="0.7" top="0.75" bottom="0.75" header="0.3" footer="0.3"/>
  <ignoredErrors>
    <ignoredError sqref="Z31:AC32 AA30:AC30" evalError="1"/>
  </ignoredError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opLeftCell="A6" workbookViewId="0">
      <selection activeCell="L23" sqref="L23:O25"/>
    </sheetView>
  </sheetViews>
  <sheetFormatPr defaultRowHeight="15"/>
  <cols>
    <col min="1" max="2" width="11.42578125" bestFit="1" customWidth="1"/>
    <col min="3" max="3" width="15.42578125" bestFit="1" customWidth="1"/>
    <col min="4" max="4" width="13.85546875" bestFit="1" customWidth="1"/>
    <col min="5" max="5" width="14.42578125" bestFit="1" customWidth="1"/>
    <col min="6" max="6" width="12.28515625" bestFit="1" customWidth="1"/>
    <col min="7" max="7" width="15.42578125" bestFit="1" customWidth="1"/>
  </cols>
  <sheetData>
    <row r="1" spans="1:16">
      <c r="A1" t="s">
        <v>0</v>
      </c>
      <c r="B1" t="s">
        <v>30</v>
      </c>
      <c r="C1" t="s">
        <v>31</v>
      </c>
      <c r="D1" t="s">
        <v>32</v>
      </c>
    </row>
    <row r="2" spans="1:16">
      <c r="A2" t="s">
        <v>2</v>
      </c>
      <c r="B2">
        <v>312514.5</v>
      </c>
      <c r="C2">
        <v>74983.5</v>
      </c>
      <c r="D2">
        <v>614</v>
      </c>
    </row>
    <row r="3" spans="1:16">
      <c r="A3" t="s">
        <v>3</v>
      </c>
      <c r="B3">
        <v>62070</v>
      </c>
      <c r="C3">
        <v>15254</v>
      </c>
      <c r="D3">
        <v>124</v>
      </c>
    </row>
    <row r="4" spans="1:16">
      <c r="A4" t="s">
        <v>4</v>
      </c>
      <c r="B4">
        <v>10134</v>
      </c>
      <c r="C4">
        <v>2602</v>
      </c>
      <c r="D4">
        <v>25</v>
      </c>
    </row>
    <row r="6" spans="1:16">
      <c r="F6" s="1" t="s">
        <v>0</v>
      </c>
      <c r="G6" t="s">
        <v>1</v>
      </c>
      <c r="O6" s="1" t="s">
        <v>11</v>
      </c>
      <c r="P6" s="3" t="s">
        <v>1</v>
      </c>
    </row>
    <row r="7" spans="1:16">
      <c r="F7" t="s">
        <v>2</v>
      </c>
      <c r="G7" s="3">
        <v>312514.5</v>
      </c>
      <c r="O7" t="s">
        <v>12</v>
      </c>
      <c r="P7" s="3">
        <v>51364</v>
      </c>
    </row>
    <row r="8" spans="1:16">
      <c r="F8" t="s">
        <v>3</v>
      </c>
      <c r="G8" s="3">
        <v>62070</v>
      </c>
      <c r="O8" t="s">
        <v>13</v>
      </c>
      <c r="P8" s="3">
        <v>41118</v>
      </c>
    </row>
    <row r="9" spans="1:16">
      <c r="F9" t="s">
        <v>4</v>
      </c>
      <c r="G9" s="3">
        <v>10134</v>
      </c>
      <c r="O9" t="s">
        <v>14</v>
      </c>
      <c r="P9" s="3">
        <v>51873.5</v>
      </c>
    </row>
    <row r="10" spans="1:16">
      <c r="B10" s="1" t="s">
        <v>33</v>
      </c>
      <c r="C10" t="s">
        <v>1</v>
      </c>
      <c r="D10" t="s">
        <v>34</v>
      </c>
      <c r="E10" t="s">
        <v>24</v>
      </c>
      <c r="F10" t="s">
        <v>10</v>
      </c>
      <c r="G10" s="3">
        <v>384718.5</v>
      </c>
      <c r="O10" t="s">
        <v>15</v>
      </c>
      <c r="P10" s="3">
        <v>25952</v>
      </c>
    </row>
    <row r="11" spans="1:16">
      <c r="B11" t="s">
        <v>35</v>
      </c>
      <c r="C11" s="3">
        <v>234995</v>
      </c>
      <c r="D11" s="3">
        <v>151</v>
      </c>
      <c r="E11" s="3">
        <v>56285</v>
      </c>
      <c r="O11" t="s">
        <v>16</v>
      </c>
      <c r="P11" s="3">
        <v>59619.5</v>
      </c>
    </row>
    <row r="12" spans="1:16">
      <c r="B12" t="s">
        <v>36</v>
      </c>
      <c r="C12" s="3">
        <v>102756</v>
      </c>
      <c r="D12" s="3">
        <v>64</v>
      </c>
      <c r="E12" s="3">
        <v>25028</v>
      </c>
      <c r="O12" t="s">
        <v>17</v>
      </c>
      <c r="P12" s="3">
        <v>12360.5</v>
      </c>
    </row>
    <row r="13" spans="1:16">
      <c r="B13" t="s">
        <v>37</v>
      </c>
      <c r="C13" s="3">
        <v>39284.5</v>
      </c>
      <c r="D13" s="3">
        <v>27</v>
      </c>
      <c r="E13" s="3">
        <v>9625.5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O13" t="s">
        <v>18</v>
      </c>
      <c r="P13" s="3">
        <v>13570.5</v>
      </c>
    </row>
    <row r="14" spans="1:16">
      <c r="B14" t="s">
        <v>45</v>
      </c>
      <c r="C14" s="3">
        <v>7683</v>
      </c>
      <c r="D14" s="3">
        <v>8</v>
      </c>
      <c r="E14" s="3">
        <v>1901</v>
      </c>
      <c r="G14">
        <v>250</v>
      </c>
      <c r="H14">
        <v>78</v>
      </c>
      <c r="I14">
        <v>40</v>
      </c>
      <c r="J14">
        <v>384718.5</v>
      </c>
      <c r="K14">
        <v>92839.5</v>
      </c>
      <c r="L14">
        <v>763</v>
      </c>
      <c r="M14">
        <v>1538.87</v>
      </c>
      <c r="O14" t="s">
        <v>19</v>
      </c>
      <c r="P14" s="3">
        <v>13134</v>
      </c>
    </row>
    <row r="15" spans="1:16">
      <c r="B15" t="s">
        <v>10</v>
      </c>
      <c r="C15" s="3">
        <v>384718.5</v>
      </c>
      <c r="D15" s="3">
        <v>250</v>
      </c>
      <c r="E15" s="3">
        <v>92839.5</v>
      </c>
      <c r="O15" t="s">
        <v>20</v>
      </c>
      <c r="P15" s="3">
        <v>9120</v>
      </c>
    </row>
    <row r="16" spans="1:16"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44</v>
      </c>
      <c r="O16" t="s">
        <v>21</v>
      </c>
      <c r="P16" s="3">
        <v>36571.5</v>
      </c>
    </row>
    <row r="17" spans="4:16">
      <c r="D17" s="1" t="s">
        <v>46</v>
      </c>
      <c r="E17" s="1" t="s">
        <v>33</v>
      </c>
      <c r="F17" s="3" t="s">
        <v>1</v>
      </c>
      <c r="G17">
        <v>250</v>
      </c>
      <c r="H17">
        <v>78</v>
      </c>
      <c r="I17">
        <v>40</v>
      </c>
      <c r="J17">
        <v>384718.5</v>
      </c>
      <c r="K17">
        <v>92839.5</v>
      </c>
      <c r="L17">
        <v>763</v>
      </c>
      <c r="M17">
        <v>1538.87</v>
      </c>
      <c r="O17" t="s">
        <v>22</v>
      </c>
      <c r="P17" s="3">
        <v>25629.5</v>
      </c>
    </row>
    <row r="18" spans="4:16">
      <c r="D18" t="s">
        <v>47</v>
      </c>
      <c r="E18" t="s">
        <v>35</v>
      </c>
      <c r="F18" s="3">
        <v>21467.5</v>
      </c>
      <c r="O18" t="s">
        <v>10</v>
      </c>
      <c r="P18" s="3">
        <v>340313</v>
      </c>
    </row>
    <row r="19" spans="4:16">
      <c r="D19" t="s">
        <v>48</v>
      </c>
      <c r="F19" s="3">
        <v>21467.5</v>
      </c>
    </row>
    <row r="20" spans="4:16">
      <c r="D20" t="s">
        <v>49</v>
      </c>
      <c r="E20" t="s">
        <v>36</v>
      </c>
      <c r="F20">
        <v>8979.5</v>
      </c>
    </row>
    <row r="21" spans="4:16">
      <c r="D21" t="s">
        <v>50</v>
      </c>
      <c r="F21">
        <v>8979.5</v>
      </c>
    </row>
    <row r="22" spans="4:16">
      <c r="D22" t="s">
        <v>51</v>
      </c>
      <c r="E22" t="s">
        <v>36</v>
      </c>
      <c r="F22">
        <v>12137</v>
      </c>
      <c r="G22" s="7" t="s">
        <v>33</v>
      </c>
      <c r="H22" s="7" t="s">
        <v>1</v>
      </c>
      <c r="I22" s="7" t="s">
        <v>34</v>
      </c>
      <c r="J22" s="7" t="s">
        <v>24</v>
      </c>
    </row>
    <row r="23" spans="4:16">
      <c r="D23" t="s">
        <v>52</v>
      </c>
      <c r="F23">
        <v>12137</v>
      </c>
      <c r="G23" s="12" t="s">
        <v>35</v>
      </c>
      <c r="H23" s="10">
        <v>234995</v>
      </c>
      <c r="I23" s="10">
        <v>151</v>
      </c>
      <c r="J23" s="10">
        <v>56285</v>
      </c>
      <c r="L23" s="13" t="s">
        <v>0</v>
      </c>
      <c r="M23" s="14" t="s">
        <v>30</v>
      </c>
      <c r="N23" s="14" t="s">
        <v>31</v>
      </c>
      <c r="O23" s="15" t="s">
        <v>32</v>
      </c>
    </row>
    <row r="24" spans="4:16">
      <c r="D24" t="s">
        <v>53</v>
      </c>
      <c r="E24" t="s">
        <v>35</v>
      </c>
      <c r="F24">
        <v>9354.5</v>
      </c>
      <c r="G24" s="12" t="s">
        <v>36</v>
      </c>
      <c r="H24" s="10">
        <v>102756</v>
      </c>
      <c r="I24" s="10">
        <v>64</v>
      </c>
      <c r="J24" s="10">
        <v>25028</v>
      </c>
      <c r="L24" s="16" t="s">
        <v>3</v>
      </c>
      <c r="M24" s="17">
        <v>62070</v>
      </c>
      <c r="N24" s="17">
        <v>15254</v>
      </c>
      <c r="O24" s="18">
        <v>124</v>
      </c>
    </row>
    <row r="25" spans="4:16">
      <c r="D25" t="s">
        <v>54</v>
      </c>
      <c r="F25">
        <v>9354.5</v>
      </c>
      <c r="G25" s="12" t="s">
        <v>37</v>
      </c>
      <c r="H25" s="10">
        <v>39284.5</v>
      </c>
      <c r="I25" s="10">
        <v>27</v>
      </c>
      <c r="J25" s="10">
        <v>9625.5</v>
      </c>
    </row>
    <row r="26" spans="4:16">
      <c r="D26" t="s">
        <v>55</v>
      </c>
      <c r="E26" t="s">
        <v>36</v>
      </c>
      <c r="F26" s="3">
        <v>9803.5</v>
      </c>
      <c r="G26" s="12" t="s">
        <v>45</v>
      </c>
      <c r="H26" s="10">
        <v>7683</v>
      </c>
      <c r="I26" s="10">
        <v>8</v>
      </c>
      <c r="J26" s="10">
        <v>1901</v>
      </c>
    </row>
    <row r="27" spans="4:16">
      <c r="D27" t="s">
        <v>56</v>
      </c>
      <c r="F27" s="3">
        <v>9803.5</v>
      </c>
    </row>
    <row r="28" spans="4:16">
      <c r="D28" t="s">
        <v>57</v>
      </c>
      <c r="E28" t="s">
        <v>35</v>
      </c>
      <c r="F28" s="3">
        <v>17274</v>
      </c>
    </row>
    <row r="29" spans="4:16">
      <c r="D29" t="s">
        <v>58</v>
      </c>
      <c r="F29" s="3">
        <v>17274</v>
      </c>
    </row>
    <row r="30" spans="4:16">
      <c r="D30" t="s">
        <v>59</v>
      </c>
      <c r="E30" t="s">
        <v>35</v>
      </c>
      <c r="F30" s="3">
        <v>8655</v>
      </c>
    </row>
    <row r="31" spans="4:16">
      <c r="D31" t="s">
        <v>60</v>
      </c>
      <c r="F31" s="3">
        <v>8655</v>
      </c>
    </row>
    <row r="32" spans="4:16">
      <c r="D32" t="s">
        <v>61</v>
      </c>
      <c r="E32" t="s">
        <v>35</v>
      </c>
      <c r="F32" s="3">
        <v>11647</v>
      </c>
    </row>
    <row r="33" spans="4:6">
      <c r="D33" t="s">
        <v>62</v>
      </c>
      <c r="F33" s="3">
        <v>11647</v>
      </c>
    </row>
    <row r="34" spans="4:6">
      <c r="D34" t="s">
        <v>63</v>
      </c>
      <c r="E34" t="s">
        <v>36</v>
      </c>
      <c r="F34" s="3">
        <v>9479</v>
      </c>
    </row>
    <row r="35" spans="4:6">
      <c r="D35" t="s">
        <v>64</v>
      </c>
      <c r="F35" s="3">
        <v>9479</v>
      </c>
    </row>
    <row r="36" spans="4:6">
      <c r="D36" t="s">
        <v>10</v>
      </c>
      <c r="F36" s="3">
        <v>108797</v>
      </c>
    </row>
  </sheetData>
  <pageMargins left="0.7" right="0.7" top="0.75" bottom="0.75" header="0.3" footer="0.3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4E79-BE84-4F71-8F30-30ED0A579CDF}">
  <dimension ref="A1:J22"/>
  <sheetViews>
    <sheetView topLeftCell="B1" workbookViewId="0">
      <selection activeCell="B12" sqref="B12:E17"/>
    </sheetView>
  </sheetViews>
  <sheetFormatPr defaultRowHeight="15"/>
  <cols>
    <col min="1" max="1" width="14.7109375" bestFit="1" customWidth="1"/>
    <col min="2" max="2" width="18.5703125" bestFit="1" customWidth="1"/>
    <col min="3" max="3" width="16.85546875" bestFit="1" customWidth="1"/>
    <col min="4" max="4" width="16.5703125" bestFit="1" customWidth="1"/>
    <col min="5" max="5" width="13.5703125" bestFit="1" customWidth="1"/>
    <col min="6" max="6" width="16.42578125" bestFit="1" customWidth="1"/>
    <col min="7" max="7" width="22.5703125" bestFit="1" customWidth="1"/>
  </cols>
  <sheetData>
    <row r="1" spans="1:10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10">
      <c r="A2">
        <v>250</v>
      </c>
      <c r="B2">
        <v>78</v>
      </c>
      <c r="C2">
        <v>40</v>
      </c>
      <c r="D2">
        <v>384718.5</v>
      </c>
      <c r="E2">
        <v>92839.5</v>
      </c>
      <c r="F2">
        <v>763</v>
      </c>
      <c r="G2">
        <v>1538.87</v>
      </c>
    </row>
    <row r="12" spans="1:10">
      <c r="B12" s="1" t="s">
        <v>23</v>
      </c>
      <c r="C12" s="1" t="s">
        <v>1</v>
      </c>
      <c r="D12" t="s">
        <v>24</v>
      </c>
      <c r="E12" t="s">
        <v>25</v>
      </c>
      <c r="F12" t="s">
        <v>23</v>
      </c>
      <c r="G12" t="s">
        <v>0</v>
      </c>
      <c r="H12" t="s">
        <v>30</v>
      </c>
      <c r="I12" t="s">
        <v>31</v>
      </c>
      <c r="J12" t="s">
        <v>32</v>
      </c>
    </row>
    <row r="13" spans="1:10">
      <c r="B13" t="s">
        <v>26</v>
      </c>
      <c r="C13" s="2">
        <v>87958.5</v>
      </c>
      <c r="D13" s="2">
        <v>20611.5</v>
      </c>
      <c r="E13" s="2">
        <v>170</v>
      </c>
      <c r="F13" t="s">
        <v>27</v>
      </c>
      <c r="G13" t="s">
        <v>2</v>
      </c>
      <c r="H13">
        <v>23391.5</v>
      </c>
      <c r="I13">
        <v>6052.5</v>
      </c>
      <c r="J13">
        <v>41</v>
      </c>
    </row>
    <row r="14" spans="1:10">
      <c r="B14" t="s">
        <v>27</v>
      </c>
      <c r="C14" s="2">
        <v>23391.5</v>
      </c>
      <c r="D14" s="2">
        <v>6052.5</v>
      </c>
      <c r="E14" s="2">
        <v>41</v>
      </c>
      <c r="F14" t="s">
        <v>28</v>
      </c>
      <c r="G14" t="s">
        <v>2</v>
      </c>
      <c r="H14">
        <v>20940</v>
      </c>
      <c r="I14">
        <v>4959</v>
      </c>
      <c r="J14">
        <v>31</v>
      </c>
    </row>
    <row r="15" spans="1:10">
      <c r="B15" t="s">
        <v>28</v>
      </c>
      <c r="C15" s="2">
        <v>35534.5</v>
      </c>
      <c r="D15" s="2">
        <v>8164.5</v>
      </c>
      <c r="E15" s="2">
        <v>55</v>
      </c>
      <c r="F15" t="s">
        <v>26</v>
      </c>
      <c r="G15" t="s">
        <v>2</v>
      </c>
      <c r="H15">
        <v>17769</v>
      </c>
      <c r="I15">
        <v>4329</v>
      </c>
      <c r="J15">
        <v>29</v>
      </c>
    </row>
    <row r="16" spans="1:10">
      <c r="B16" t="s">
        <v>29</v>
      </c>
      <c r="C16" s="2">
        <v>13365</v>
      </c>
      <c r="D16" s="2">
        <v>3201</v>
      </c>
      <c r="E16" s="2">
        <v>19</v>
      </c>
      <c r="F16" t="s">
        <v>26</v>
      </c>
      <c r="G16" t="s">
        <v>2</v>
      </c>
      <c r="H16">
        <v>16281</v>
      </c>
      <c r="I16">
        <v>4283</v>
      </c>
      <c r="J16">
        <v>33</v>
      </c>
    </row>
    <row r="17" spans="2:10">
      <c r="B17" t="s">
        <v>10</v>
      </c>
      <c r="C17" s="2">
        <v>160249.5</v>
      </c>
      <c r="D17" s="2">
        <v>38029.5</v>
      </c>
      <c r="E17" s="2">
        <v>285</v>
      </c>
      <c r="F17" t="s">
        <v>28</v>
      </c>
      <c r="G17" t="s">
        <v>2</v>
      </c>
      <c r="H17">
        <v>14594.5</v>
      </c>
      <c r="I17">
        <v>3205.5</v>
      </c>
      <c r="J17">
        <v>24</v>
      </c>
    </row>
    <row r="18" spans="2:10">
      <c r="F18" t="s">
        <v>26</v>
      </c>
      <c r="G18" t="s">
        <v>2</v>
      </c>
      <c r="H18">
        <v>13883</v>
      </c>
      <c r="I18">
        <v>3068</v>
      </c>
      <c r="J18">
        <v>28</v>
      </c>
    </row>
    <row r="19" spans="2:10">
      <c r="F19" t="s">
        <v>26</v>
      </c>
      <c r="G19" t="s">
        <v>2</v>
      </c>
      <c r="H19">
        <v>13813</v>
      </c>
      <c r="I19">
        <v>3194</v>
      </c>
      <c r="J19">
        <v>26</v>
      </c>
    </row>
    <row r="20" spans="2:10">
      <c r="F20" t="s">
        <v>26</v>
      </c>
      <c r="G20" t="s">
        <v>2</v>
      </c>
      <c r="H20">
        <v>13462.5</v>
      </c>
      <c r="I20">
        <v>3263.5</v>
      </c>
      <c r="J20">
        <v>23</v>
      </c>
    </row>
    <row r="21" spans="2:10">
      <c r="F21" t="s">
        <v>29</v>
      </c>
      <c r="G21" t="s">
        <v>2</v>
      </c>
      <c r="H21">
        <v>13365</v>
      </c>
      <c r="I21">
        <v>3201</v>
      </c>
      <c r="J21">
        <v>19</v>
      </c>
    </row>
    <row r="22" spans="2:10">
      <c r="F22" t="s">
        <v>26</v>
      </c>
      <c r="G22" t="s">
        <v>2</v>
      </c>
      <c r="H22">
        <v>12750</v>
      </c>
      <c r="I22">
        <v>2474</v>
      </c>
      <c r="J22">
        <v>31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9654-D9EB-4B68-87EB-24BC5074D108}">
  <dimension ref="A3:B15"/>
  <sheetViews>
    <sheetView workbookViewId="0">
      <selection activeCell="A3" sqref="A3"/>
    </sheetView>
  </sheetViews>
  <sheetFormatPr defaultRowHeight="15"/>
  <cols>
    <col min="1" max="1" width="15.140625" bestFit="1" customWidth="1"/>
    <col min="2" max="2" width="15.42578125" bestFit="1" customWidth="1"/>
  </cols>
  <sheetData>
    <row r="3" spans="1:2">
      <c r="A3" s="1" t="s">
        <v>11</v>
      </c>
      <c r="B3" s="3" t="s">
        <v>1</v>
      </c>
    </row>
    <row r="4" spans="1:2">
      <c r="A4" t="s">
        <v>12</v>
      </c>
      <c r="B4" s="3">
        <v>51364</v>
      </c>
    </row>
    <row r="5" spans="1:2">
      <c r="A5" t="s">
        <v>13</v>
      </c>
      <c r="B5" s="3">
        <v>41118</v>
      </c>
    </row>
    <row r="6" spans="1:2">
      <c r="A6" t="s">
        <v>14</v>
      </c>
      <c r="B6" s="3">
        <v>51873.5</v>
      </c>
    </row>
    <row r="7" spans="1:2">
      <c r="A7" t="s">
        <v>15</v>
      </c>
      <c r="B7" s="3">
        <v>25952</v>
      </c>
    </row>
    <row r="8" spans="1:2">
      <c r="A8" t="s">
        <v>16</v>
      </c>
      <c r="B8" s="3">
        <v>59619.5</v>
      </c>
    </row>
    <row r="9" spans="1:2">
      <c r="A9" t="s">
        <v>17</v>
      </c>
      <c r="B9" s="3">
        <v>12360.5</v>
      </c>
    </row>
    <row r="10" spans="1:2">
      <c r="A10" t="s">
        <v>18</v>
      </c>
      <c r="B10" s="3">
        <v>13570.5</v>
      </c>
    </row>
    <row r="11" spans="1:2">
      <c r="A11" t="s">
        <v>19</v>
      </c>
      <c r="B11" s="3">
        <v>13134</v>
      </c>
    </row>
    <row r="12" spans="1:2">
      <c r="A12" t="s">
        <v>20</v>
      </c>
      <c r="B12" s="3">
        <v>9120</v>
      </c>
    </row>
    <row r="13" spans="1:2">
      <c r="A13" t="s">
        <v>21</v>
      </c>
      <c r="B13" s="3">
        <v>36571.5</v>
      </c>
    </row>
    <row r="14" spans="1:2">
      <c r="A14" t="s">
        <v>22</v>
      </c>
      <c r="B14" s="3">
        <v>25629.5</v>
      </c>
    </row>
    <row r="15" spans="1:2">
      <c r="A15" t="s">
        <v>10</v>
      </c>
      <c r="B15" s="3">
        <v>340313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D28D-099B-4F93-9C0C-655D3AAFB08C}">
  <dimension ref="A1:N19"/>
  <sheetViews>
    <sheetView workbookViewId="0">
      <selection activeCell="H15" sqref="H15:N16"/>
    </sheetView>
  </sheetViews>
  <sheetFormatPr defaultRowHeight="15"/>
  <cols>
    <col min="1" max="1" width="9.85546875" customWidth="1"/>
    <col min="2" max="2" width="15.85546875" customWidth="1"/>
    <col min="3" max="3" width="11.140625" bestFit="1" customWidth="1"/>
  </cols>
  <sheetData>
    <row r="1" spans="1:14">
      <c r="A1" t="s">
        <v>65</v>
      </c>
      <c r="B1" t="s">
        <v>11</v>
      </c>
      <c r="C1" t="s">
        <v>30</v>
      </c>
    </row>
    <row r="2" spans="1:14">
      <c r="A2">
        <v>2024</v>
      </c>
      <c r="B2" t="s">
        <v>14</v>
      </c>
      <c r="C2">
        <v>26902</v>
      </c>
    </row>
    <row r="3" spans="1:14">
      <c r="A3">
        <v>2024</v>
      </c>
      <c r="B3" t="s">
        <v>21</v>
      </c>
      <c r="C3">
        <v>36571.5</v>
      </c>
    </row>
    <row r="4" spans="1:14">
      <c r="A4">
        <v>2025</v>
      </c>
      <c r="B4" t="s">
        <v>14</v>
      </c>
      <c r="C4">
        <v>24971.5</v>
      </c>
    </row>
    <row r="5" spans="1:14">
      <c r="A5">
        <v>2024</v>
      </c>
      <c r="B5" t="s">
        <v>66</v>
      </c>
      <c r="C5">
        <v>24503</v>
      </c>
    </row>
    <row r="6" spans="1:14">
      <c r="A6">
        <v>2024</v>
      </c>
      <c r="B6" t="s">
        <v>19</v>
      </c>
      <c r="C6">
        <v>13134</v>
      </c>
    </row>
    <row r="7" spans="1:14">
      <c r="A7">
        <v>2024</v>
      </c>
      <c r="B7" t="s">
        <v>18</v>
      </c>
      <c r="C7">
        <v>13570.5</v>
      </c>
    </row>
    <row r="8" spans="1:14">
      <c r="A8">
        <v>2024</v>
      </c>
      <c r="B8" t="s">
        <v>16</v>
      </c>
      <c r="C8">
        <v>38953</v>
      </c>
    </row>
    <row r="9" spans="1:14">
      <c r="A9">
        <v>2024</v>
      </c>
      <c r="B9" t="s">
        <v>17</v>
      </c>
      <c r="C9">
        <v>12360.5</v>
      </c>
    </row>
    <row r="10" spans="1:14">
      <c r="A10">
        <v>2025</v>
      </c>
      <c r="B10" t="s">
        <v>13</v>
      </c>
      <c r="C10">
        <v>25886</v>
      </c>
    </row>
    <row r="11" spans="1:14">
      <c r="A11">
        <v>2024</v>
      </c>
      <c r="B11" t="s">
        <v>13</v>
      </c>
      <c r="C11">
        <v>15232</v>
      </c>
    </row>
    <row r="12" spans="1:14">
      <c r="A12">
        <v>2025</v>
      </c>
      <c r="B12" t="s">
        <v>16</v>
      </c>
      <c r="C12">
        <v>20666.5</v>
      </c>
    </row>
    <row r="13" spans="1:14">
      <c r="A13">
        <v>2024</v>
      </c>
      <c r="B13" t="s">
        <v>22</v>
      </c>
      <c r="C13">
        <v>25629.5</v>
      </c>
    </row>
    <row r="14" spans="1:14">
      <c r="A14">
        <v>2025</v>
      </c>
      <c r="B14" t="s">
        <v>66</v>
      </c>
      <c r="C14">
        <v>19902.5</v>
      </c>
    </row>
    <row r="15" spans="1:14">
      <c r="A15">
        <v>2024</v>
      </c>
      <c r="B15" t="s">
        <v>20</v>
      </c>
      <c r="C15">
        <v>9120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</row>
    <row r="16" spans="1:14">
      <c r="A16">
        <v>2025</v>
      </c>
      <c r="B16" t="s">
        <v>15</v>
      </c>
      <c r="C16">
        <v>17561</v>
      </c>
      <c r="H16">
        <v>250</v>
      </c>
      <c r="I16">
        <v>78</v>
      </c>
      <c r="J16">
        <v>40</v>
      </c>
      <c r="K16">
        <v>384718.5</v>
      </c>
      <c r="L16">
        <v>92839.5</v>
      </c>
      <c r="M16">
        <v>763</v>
      </c>
      <c r="N16">
        <v>1538.87</v>
      </c>
    </row>
    <row r="17" spans="1:3">
      <c r="A17">
        <v>2024</v>
      </c>
      <c r="B17" t="s">
        <v>12</v>
      </c>
      <c r="C17">
        <v>33813</v>
      </c>
    </row>
    <row r="18" spans="1:3">
      <c r="A18">
        <v>2025</v>
      </c>
      <c r="B18" t="s">
        <v>12</v>
      </c>
      <c r="C18">
        <v>17551</v>
      </c>
    </row>
    <row r="19" spans="1:3">
      <c r="A19">
        <v>2024</v>
      </c>
      <c r="B19" t="s">
        <v>15</v>
      </c>
      <c r="C19">
        <v>8391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AAA-4441-461E-9B15-9FFC429A597B}">
  <dimension ref="A3:B8"/>
  <sheetViews>
    <sheetView topLeftCell="A12" workbookViewId="0">
      <selection activeCell="A3" sqref="A3:B8"/>
    </sheetView>
  </sheetViews>
  <sheetFormatPr defaultRowHeight="15"/>
  <cols>
    <col min="1" max="1" width="19" bestFit="1" customWidth="1"/>
    <col min="2" max="2" width="19.28515625" bestFit="1" customWidth="1"/>
  </cols>
  <sheetData>
    <row r="3" spans="1:2">
      <c r="A3" s="1" t="s">
        <v>67</v>
      </c>
      <c r="B3" t="s">
        <v>68</v>
      </c>
    </row>
    <row r="4" spans="1:2">
      <c r="A4" t="s">
        <v>69</v>
      </c>
      <c r="B4" s="2">
        <v>58</v>
      </c>
    </row>
    <row r="5" spans="1:2">
      <c r="A5" t="s">
        <v>70</v>
      </c>
      <c r="B5" s="2">
        <v>72</v>
      </c>
    </row>
    <row r="6" spans="1:2">
      <c r="A6" t="s">
        <v>71</v>
      </c>
      <c r="B6" s="2">
        <v>61</v>
      </c>
    </row>
    <row r="7" spans="1:2">
      <c r="A7" t="s">
        <v>72</v>
      </c>
      <c r="B7" s="2">
        <v>59</v>
      </c>
    </row>
    <row r="8" spans="1:2">
      <c r="A8" t="s">
        <v>10</v>
      </c>
      <c r="B8" s="2">
        <v>250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CE2A-A056-4091-AA9E-7FCB0B4E9A7F}">
  <dimension ref="A1:B5"/>
  <sheetViews>
    <sheetView topLeftCell="A12" workbookViewId="0">
      <selection sqref="A1:B5"/>
    </sheetView>
  </sheetViews>
  <sheetFormatPr defaultRowHeight="15"/>
  <cols>
    <col min="1" max="1" width="18.140625" bestFit="1" customWidth="1"/>
    <col min="2" max="2" width="14.7109375" bestFit="1" customWidth="1"/>
  </cols>
  <sheetData>
    <row r="1" spans="1:2">
      <c r="A1" t="s">
        <v>67</v>
      </c>
      <c r="B1" t="s">
        <v>38</v>
      </c>
    </row>
    <row r="2" spans="1:2">
      <c r="A2" t="s">
        <v>70</v>
      </c>
      <c r="B2">
        <v>72</v>
      </c>
    </row>
    <row r="3" spans="1:2">
      <c r="A3" t="s">
        <v>71</v>
      </c>
      <c r="B3">
        <v>61</v>
      </c>
    </row>
    <row r="4" spans="1:2">
      <c r="A4" t="s">
        <v>72</v>
      </c>
      <c r="B4">
        <v>59</v>
      </c>
    </row>
    <row r="5" spans="1:2">
      <c r="A5" t="s">
        <v>69</v>
      </c>
      <c r="B5">
        <v>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C494-4610-4DBA-95B7-0BCA08EAEAFD}">
  <dimension ref="A3:B8"/>
  <sheetViews>
    <sheetView workbookViewId="0">
      <selection activeCell="A3" sqref="A3:B8"/>
    </sheetView>
  </sheetViews>
  <sheetFormatPr defaultRowHeight="15"/>
  <cols>
    <col min="1" max="1" width="11.42578125" bestFit="1" customWidth="1"/>
    <col min="2" max="2" width="16.28515625" bestFit="1" customWidth="1"/>
  </cols>
  <sheetData>
    <row r="3" spans="1:2">
      <c r="A3" s="1" t="s">
        <v>33</v>
      </c>
      <c r="B3" s="3" t="s">
        <v>1</v>
      </c>
    </row>
    <row r="4" spans="1:2">
      <c r="A4" t="s">
        <v>35</v>
      </c>
      <c r="B4" s="3">
        <v>234995</v>
      </c>
    </row>
    <row r="5" spans="1:2">
      <c r="A5" t="s">
        <v>36</v>
      </c>
      <c r="B5" s="3">
        <v>102756</v>
      </c>
    </row>
    <row r="6" spans="1:2">
      <c r="A6" t="s">
        <v>37</v>
      </c>
      <c r="B6" s="3">
        <v>39284.5</v>
      </c>
    </row>
    <row r="7" spans="1:2">
      <c r="A7" t="s">
        <v>45</v>
      </c>
      <c r="B7" s="3">
        <v>7683</v>
      </c>
    </row>
    <row r="8" spans="1:2">
      <c r="A8" t="s">
        <v>10</v>
      </c>
      <c r="B8" s="3">
        <v>384718.5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F53F-BB54-497D-951A-9A08BE510367}">
  <dimension ref="A1:D5"/>
  <sheetViews>
    <sheetView workbookViewId="0">
      <selection sqref="A1:D5"/>
    </sheetView>
  </sheetViews>
  <sheetFormatPr defaultRowHeight="15"/>
  <cols>
    <col min="1" max="1" width="9.42578125" bestFit="1" customWidth="1"/>
    <col min="2" max="2" width="11.140625" bestFit="1" customWidth="1"/>
    <col min="4" max="4" width="9.42578125" bestFit="1" customWidth="1"/>
  </cols>
  <sheetData>
    <row r="1" spans="1:4">
      <c r="A1" t="s">
        <v>33</v>
      </c>
      <c r="B1" t="s">
        <v>30</v>
      </c>
      <c r="C1" t="s">
        <v>31</v>
      </c>
      <c r="D1" t="s">
        <v>73</v>
      </c>
    </row>
    <row r="2" spans="1:4">
      <c r="A2" t="s">
        <v>35</v>
      </c>
      <c r="B2">
        <v>234995</v>
      </c>
      <c r="C2">
        <v>56285</v>
      </c>
      <c r="D2">
        <v>151</v>
      </c>
    </row>
    <row r="3" spans="1:4">
      <c r="A3" t="s">
        <v>36</v>
      </c>
      <c r="B3">
        <v>102756</v>
      </c>
      <c r="C3">
        <v>25028</v>
      </c>
      <c r="D3">
        <v>64</v>
      </c>
    </row>
    <row r="4" spans="1:4">
      <c r="A4" t="s">
        <v>37</v>
      </c>
      <c r="B4">
        <v>39284.5</v>
      </c>
      <c r="C4">
        <v>9625.5</v>
      </c>
      <c r="D4">
        <v>27</v>
      </c>
    </row>
    <row r="5" spans="1:4">
      <c r="A5" t="s">
        <v>45</v>
      </c>
      <c r="B5">
        <v>7683</v>
      </c>
      <c r="C5">
        <v>1901</v>
      </c>
      <c r="D5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AF68-D32A-428B-B8E3-FCDC6CD4F268}">
  <dimension ref="A3:B13"/>
  <sheetViews>
    <sheetView topLeftCell="A12" workbookViewId="0">
      <selection activeCell="A3" sqref="A3:B13"/>
    </sheetView>
  </sheetViews>
  <sheetFormatPr defaultRowHeight="15"/>
  <cols>
    <col min="1" max="1" width="18.42578125" bestFit="1" customWidth="1"/>
    <col min="2" max="2" width="15.42578125" bestFit="1" customWidth="1"/>
  </cols>
  <sheetData>
    <row r="3" spans="1:2">
      <c r="A3" s="1" t="s">
        <v>46</v>
      </c>
      <c r="B3" s="3" t="s">
        <v>1</v>
      </c>
    </row>
    <row r="4" spans="1:2">
      <c r="A4" t="s">
        <v>47</v>
      </c>
      <c r="B4" s="3">
        <v>21467.5</v>
      </c>
    </row>
    <row r="5" spans="1:2">
      <c r="A5" t="s">
        <v>49</v>
      </c>
      <c r="B5" s="3">
        <v>8979.5</v>
      </c>
    </row>
    <row r="6" spans="1:2">
      <c r="A6" t="s">
        <v>51</v>
      </c>
      <c r="B6" s="3">
        <v>12137</v>
      </c>
    </row>
    <row r="7" spans="1:2">
      <c r="A7" t="s">
        <v>53</v>
      </c>
      <c r="B7" s="3">
        <v>9354.5</v>
      </c>
    </row>
    <row r="8" spans="1:2">
      <c r="A8" t="s">
        <v>55</v>
      </c>
      <c r="B8" s="3">
        <v>9803.5</v>
      </c>
    </row>
    <row r="9" spans="1:2">
      <c r="A9" t="s">
        <v>57</v>
      </c>
      <c r="B9" s="3">
        <v>17274</v>
      </c>
    </row>
    <row r="10" spans="1:2">
      <c r="A10" t="s">
        <v>59</v>
      </c>
      <c r="B10" s="3">
        <v>8655</v>
      </c>
    </row>
    <row r="11" spans="1:2">
      <c r="A11" t="s">
        <v>61</v>
      </c>
      <c r="B11" s="3">
        <v>11647</v>
      </c>
    </row>
    <row r="12" spans="1:2">
      <c r="A12" t="s">
        <v>63</v>
      </c>
      <c r="B12" s="3">
        <v>9479</v>
      </c>
    </row>
    <row r="13" spans="1:2">
      <c r="A13" t="s">
        <v>10</v>
      </c>
      <c r="B13" s="3">
        <v>108797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93AC-EE0A-444C-8648-83EE37A249A6}">
  <dimension ref="A3:B8"/>
  <sheetViews>
    <sheetView workbookViewId="0">
      <selection activeCell="B5" sqref="B5"/>
    </sheetView>
  </sheetViews>
  <sheetFormatPr defaultRowHeight="15"/>
  <cols>
    <col min="1" max="1" width="16.7109375" bestFit="1" customWidth="1"/>
    <col min="2" max="2" width="15.42578125" bestFit="1" customWidth="1"/>
  </cols>
  <sheetData>
    <row r="3" spans="1:2">
      <c r="A3" s="1" t="s">
        <v>23</v>
      </c>
      <c r="B3" t="s">
        <v>1</v>
      </c>
    </row>
    <row r="4" spans="1:2">
      <c r="A4" t="s">
        <v>26</v>
      </c>
      <c r="B4" s="3">
        <v>87958.5</v>
      </c>
    </row>
    <row r="5" spans="1:2">
      <c r="A5" t="s">
        <v>27</v>
      </c>
      <c r="B5" s="3">
        <v>23391.5</v>
      </c>
    </row>
    <row r="6" spans="1:2">
      <c r="A6" t="s">
        <v>28</v>
      </c>
      <c r="B6" s="3">
        <v>35534.5</v>
      </c>
    </row>
    <row r="7" spans="1:2">
      <c r="A7" t="s">
        <v>29</v>
      </c>
      <c r="B7" s="3">
        <v>13365</v>
      </c>
    </row>
    <row r="8" spans="1:2">
      <c r="A8" t="s">
        <v>10</v>
      </c>
      <c r="B8" s="3">
        <v>160249.5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9B-07BC-4651-B794-0C4D1009377C}">
  <dimension ref="A1:E11"/>
  <sheetViews>
    <sheetView workbookViewId="0">
      <selection sqref="A1:E11"/>
    </sheetView>
  </sheetViews>
  <sheetFormatPr defaultRowHeight="15"/>
  <cols>
    <col min="1" max="1" width="17.5703125" bestFit="1" customWidth="1"/>
    <col min="2" max="2" width="11.42578125" bestFit="1" customWidth="1"/>
    <col min="3" max="3" width="11.140625" bestFit="1" customWidth="1"/>
    <col min="5" max="5" width="16" bestFit="1" customWidth="1"/>
  </cols>
  <sheetData>
    <row r="1" spans="1:5">
      <c r="A1" t="s">
        <v>23</v>
      </c>
      <c r="B1" t="s">
        <v>0</v>
      </c>
      <c r="C1" t="s">
        <v>30</v>
      </c>
      <c r="D1" t="s">
        <v>31</v>
      </c>
      <c r="E1" t="s">
        <v>32</v>
      </c>
    </row>
    <row r="2" spans="1:5">
      <c r="A2" t="s">
        <v>27</v>
      </c>
      <c r="B2" t="s">
        <v>2</v>
      </c>
      <c r="C2">
        <v>23391.5</v>
      </c>
      <c r="D2">
        <v>6052.5</v>
      </c>
      <c r="E2">
        <v>41</v>
      </c>
    </row>
    <row r="3" spans="1:5">
      <c r="A3" t="s">
        <v>28</v>
      </c>
      <c r="B3" t="s">
        <v>2</v>
      </c>
      <c r="C3">
        <v>20940</v>
      </c>
      <c r="D3">
        <v>4959</v>
      </c>
      <c r="E3">
        <v>31</v>
      </c>
    </row>
    <row r="4" spans="1:5">
      <c r="A4" t="s">
        <v>26</v>
      </c>
      <c r="B4" t="s">
        <v>2</v>
      </c>
      <c r="C4">
        <v>17769</v>
      </c>
      <c r="D4">
        <v>4329</v>
      </c>
      <c r="E4">
        <v>29</v>
      </c>
    </row>
    <row r="5" spans="1:5">
      <c r="A5" t="s">
        <v>26</v>
      </c>
      <c r="B5" t="s">
        <v>2</v>
      </c>
      <c r="C5">
        <v>16281</v>
      </c>
      <c r="D5">
        <v>4283</v>
      </c>
      <c r="E5">
        <v>33</v>
      </c>
    </row>
    <row r="6" spans="1:5">
      <c r="A6" t="s">
        <v>28</v>
      </c>
      <c r="B6" t="s">
        <v>2</v>
      </c>
      <c r="C6">
        <v>14594.5</v>
      </c>
      <c r="D6">
        <v>3205.5</v>
      </c>
      <c r="E6">
        <v>24</v>
      </c>
    </row>
    <row r="7" spans="1:5">
      <c r="A7" t="s">
        <v>26</v>
      </c>
      <c r="B7" t="s">
        <v>2</v>
      </c>
      <c r="C7">
        <v>13883</v>
      </c>
      <c r="D7">
        <v>3068</v>
      </c>
      <c r="E7">
        <v>28</v>
      </c>
    </row>
    <row r="8" spans="1:5">
      <c r="A8" t="s">
        <v>26</v>
      </c>
      <c r="B8" t="s">
        <v>2</v>
      </c>
      <c r="C8">
        <v>13813</v>
      </c>
      <c r="D8">
        <v>3194</v>
      </c>
      <c r="E8">
        <v>26</v>
      </c>
    </row>
    <row r="9" spans="1:5">
      <c r="A9" t="s">
        <v>26</v>
      </c>
      <c r="B9" t="s">
        <v>2</v>
      </c>
      <c r="C9">
        <v>13462.5</v>
      </c>
      <c r="D9">
        <v>3263.5</v>
      </c>
      <c r="E9">
        <v>23</v>
      </c>
    </row>
    <row r="10" spans="1:5">
      <c r="A10" t="s">
        <v>29</v>
      </c>
      <c r="B10" t="s">
        <v>2</v>
      </c>
      <c r="C10">
        <v>13365</v>
      </c>
      <c r="D10">
        <v>3201</v>
      </c>
      <c r="E10">
        <v>19</v>
      </c>
    </row>
    <row r="11" spans="1:5">
      <c r="A11" t="s">
        <v>26</v>
      </c>
      <c r="B11" t="s">
        <v>2</v>
      </c>
      <c r="C11">
        <v>12750</v>
      </c>
      <c r="D11">
        <v>2474</v>
      </c>
      <c r="E11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2026-07-23T06:40:40Z</dcterms:created>
  <dcterms:modified xsi:type="dcterms:W3CDTF">2026-07-24T06:23:46Z</dcterms:modified>
  <cp:category/>
  <cp:contentStatus/>
</cp:coreProperties>
</file>